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rgreen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"/>
    <numFmt numFmtId="166" formatCode="0.0%"/>
    <numFmt numFmtId="167" formatCode="#,##0.0"/>
    <numFmt numFmtId="168" formatCode="$#,##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B7280"/>
      <sz val="9"/>
    </font>
    <font>
      <name val="Calibri"/>
      <b val="1"/>
      <color rgb="0037415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F3F4F6"/>
        <bgColor rgb="00F3F4F6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164" fontId="5" fillId="3" borderId="1" pivotButton="0" quotePrefix="0" xfId="0"/>
    <xf numFmtId="10" fontId="5" fillId="3" borderId="1" pivotButton="0" quotePrefix="0" xfId="0"/>
    <xf numFmtId="165" fontId="5" fillId="3" borderId="1" pivotButton="0" quotePrefix="0" xfId="0"/>
    <xf numFmtId="3" fontId="5" fillId="3" borderId="1" pivotButton="0" quotePrefix="0" xfId="0"/>
    <xf numFmtId="166" fontId="5" fillId="4" borderId="1" pivotButton="0" quotePrefix="0" xfId="0"/>
    <xf numFmtId="3" fontId="5" fillId="0" borderId="1" pivotButton="0" quotePrefix="0" xfId="0"/>
    <xf numFmtId="167" fontId="5" fillId="3" borderId="1" pivotButton="0" quotePrefix="0" xfId="0"/>
    <xf numFmtId="167" fontId="5" fillId="5" borderId="1" pivotButton="0" quotePrefix="0" xfId="0"/>
    <xf numFmtId="167" fontId="6" fillId="6" borderId="1" pivotButton="0" quotePrefix="0" xfId="0"/>
    <xf numFmtId="168" fontId="5" fillId="6" borderId="1" pivotButton="0" quotePrefix="0" xfId="0"/>
    <xf numFmtId="0" fontId="6" fillId="0" borderId="1" pivotButton="0" quotePrefix="0" xfId="0"/>
    <xf numFmtId="3" fontId="6" fillId="0" borderId="1" pivotButton="0" quotePrefix="0" xfId="0"/>
    <xf numFmtId="167" fontId="6" fillId="3" borderId="1" pivotButton="0" quotePrefix="0" xfId="0"/>
    <xf numFmtId="167" fontId="6" fillId="5" borderId="1" pivotButton="0" quotePrefix="0" xfId="0"/>
    <xf numFmtId="168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Evergreen Lifecycle Email Retention Model</t>
        </is>
      </c>
    </row>
    <row r="2">
      <c r="A2" s="2" t="inlineStr">
        <is>
          <t>Blue = adjustable inputs. Gray = calculated. Green = key outputs. Enrollment volumes from transition data, not static segment sizes.</t>
        </is>
      </c>
    </row>
    <row r="4">
      <c r="A4" s="3" t="inlineStr">
        <is>
          <t>Revenue Reference (from ramp-up model)</t>
        </is>
      </c>
    </row>
    <row r="5">
      <c r="A5" s="4" t="inlineStr">
        <is>
          <t>Plan Type</t>
        </is>
      </c>
      <c r="B5" s="4" t="inlineStr">
        <is>
          <t>Monthly ARPU</t>
        </is>
      </c>
      <c r="C5" s="4" t="inlineStr">
        <is>
          <t>Monthly Churn</t>
        </is>
      </c>
      <c r="D5" s="4" t="inlineStr">
        <is>
          <t>Remaining Months</t>
        </is>
      </c>
    </row>
    <row r="6">
      <c r="A6" s="5" t="inlineStr">
        <is>
          <t>Business</t>
        </is>
      </c>
      <c r="B6" s="6" t="n">
        <v>85.12</v>
      </c>
      <c r="C6" s="7" t="n">
        <v>0.023</v>
      </c>
      <c r="D6" s="8" t="n">
        <v>43.4</v>
      </c>
    </row>
    <row r="7">
      <c r="A7" s="5" t="inlineStr">
        <is>
          <t>Personal (Creator)</t>
        </is>
      </c>
      <c r="B7" s="6" t="n">
        <v>12.62</v>
      </c>
      <c r="C7" s="7" t="n">
        <v>0.0592</v>
      </c>
      <c r="D7" s="8" t="n">
        <v>16.9</v>
      </c>
    </row>
    <row r="8">
      <c r="A8" s="5" t="inlineStr">
        <is>
          <t>Pro</t>
        </is>
      </c>
      <c r="B8" s="6" t="n">
        <v>18.77</v>
      </c>
      <c r="C8" s="7" t="n">
        <v>0.0388</v>
      </c>
      <c r="D8" s="8" t="n">
        <v>25.8</v>
      </c>
    </row>
    <row r="9">
      <c r="A9" s="5" t="inlineStr">
        <is>
          <t>Pro Plus</t>
        </is>
      </c>
      <c r="B9" s="6" t="n">
        <v>34.85</v>
      </c>
      <c r="C9" s="7" t="n">
        <v>0.0387</v>
      </c>
      <c r="D9" s="8" t="n">
        <v>25.9</v>
      </c>
    </row>
    <row r="11">
      <c r="A11" s="3" t="inlineStr">
        <is>
          <t>Flow Parameters</t>
        </is>
      </c>
    </row>
    <row r="12">
      <c r="A12" s="4" t="inlineStr">
        <is>
          <t>Flow</t>
        </is>
      </c>
      <c r="B12" s="4" t="inlineStr">
        <is>
          <t>Monthly Inflow</t>
        </is>
      </c>
      <c r="C12" s="4" t="inlineStr">
        <is>
          <t>Cooldown Block</t>
        </is>
      </c>
      <c r="D12" s="4" t="inlineStr">
        <is>
          <t>Dedup Block</t>
        </is>
      </c>
      <c r="E12" s="4" t="inlineStr">
        <is>
          <t>Early Exit Rate</t>
        </is>
      </c>
      <c r="F12" s="4" t="inlineStr">
        <is>
          <t>Delivery</t>
        </is>
      </c>
      <c r="G12" s="4" t="inlineStr">
        <is>
          <t>Open Rate</t>
        </is>
      </c>
      <c r="H12" s="4" t="inlineStr">
        <is>
          <t>Click Rate</t>
        </is>
      </c>
      <c r="I12" s="4" t="inlineStr">
        <is>
          <t>Retention Rate</t>
        </is>
      </c>
      <c r="J12" s="4" t="inlineStr">
        <is>
          <t>Reminder Churn</t>
        </is>
      </c>
    </row>
    <row r="13">
      <c r="A13" s="5" t="inlineStr">
        <is>
          <t>EL Re-engage</t>
        </is>
      </c>
      <c r="B13" s="9" t="n">
        <v>3398</v>
      </c>
      <c r="C13" s="10" t="n">
        <v>0.1</v>
      </c>
      <c r="D13" s="10" t="n">
        <v>0</v>
      </c>
      <c r="E13" s="10" t="n">
        <v>0.4</v>
      </c>
      <c r="F13" s="10" t="n">
        <v>0.95</v>
      </c>
      <c r="G13" s="10" t="n">
        <v>0.22</v>
      </c>
      <c r="H13" s="10" t="n">
        <v>0.08</v>
      </c>
      <c r="I13" s="10" t="n">
        <v>0.2</v>
      </c>
      <c r="J13" s="10" t="n">
        <v>0</v>
      </c>
    </row>
    <row r="14">
      <c r="A14" s="5" t="inlineStr">
        <is>
          <t>DL Win-back</t>
        </is>
      </c>
      <c r="B14" s="9" t="n">
        <v>1217</v>
      </c>
      <c r="C14" s="10" t="n">
        <v>0.05</v>
      </c>
      <c r="D14" s="10" t="n">
        <v>0</v>
      </c>
      <c r="E14" s="10" t="n">
        <v>0.15</v>
      </c>
      <c r="F14" s="10" t="n">
        <v>0.93</v>
      </c>
      <c r="G14" s="10" t="n">
        <v>0.15</v>
      </c>
      <c r="H14" s="10" t="n">
        <v>0.05</v>
      </c>
      <c r="I14" s="10" t="n">
        <v>0.1</v>
      </c>
      <c r="J14" s="10" t="n">
        <v>0.05</v>
      </c>
    </row>
    <row r="15">
      <c r="A15" s="5" t="inlineStr">
        <is>
          <t>Dormant</t>
        </is>
      </c>
      <c r="B15" s="9" t="n">
        <v>661</v>
      </c>
      <c r="C15" s="10" t="n">
        <v>0</v>
      </c>
      <c r="D15" s="10" t="n">
        <v>0</v>
      </c>
      <c r="E15" s="10" t="n">
        <v>0.05</v>
      </c>
      <c r="F15" s="10" t="n">
        <v>0.9</v>
      </c>
      <c r="G15" s="10" t="n">
        <v>0.1</v>
      </c>
      <c r="H15" s="10" t="n">
        <v>0.03</v>
      </c>
      <c r="I15" s="10" t="n">
        <v>0.05</v>
      </c>
      <c r="J15" s="10" t="n">
        <v>0.1</v>
      </c>
    </row>
    <row r="16">
      <c r="A16" s="5" t="inlineStr">
        <is>
          <t>AB Nudge</t>
        </is>
      </c>
      <c r="B16" s="9" t="n">
        <v>495</v>
      </c>
      <c r="C16" s="10" t="n">
        <v>0.15</v>
      </c>
      <c r="D16" s="10" t="n">
        <v>0.05</v>
      </c>
      <c r="E16" s="10" t="n">
        <v>0.2</v>
      </c>
      <c r="F16" s="10" t="n">
        <v>0.95</v>
      </c>
      <c r="G16" s="10" t="n">
        <v>0.28</v>
      </c>
      <c r="H16" s="10" t="n">
        <v>0.12</v>
      </c>
      <c r="I16" s="10" t="n">
        <v>0.2</v>
      </c>
      <c r="J16" s="10" t="n">
        <v>0</v>
      </c>
    </row>
    <row r="17">
      <c r="A17" s="5" t="inlineStr">
        <is>
          <t>AD Reinforce</t>
        </is>
      </c>
      <c r="B17" s="9" t="n">
        <v>2599</v>
      </c>
      <c r="C17" s="10" t="n">
        <v>0</v>
      </c>
      <c r="D17" s="10" t="n">
        <v>0.05</v>
      </c>
      <c r="E17" s="10" t="n">
        <v>0.1</v>
      </c>
      <c r="F17" s="10" t="n">
        <v>0.95</v>
      </c>
      <c r="G17" s="10" t="n">
        <v>0.25</v>
      </c>
      <c r="H17" s="10" t="n">
        <v>0.08</v>
      </c>
      <c r="I17" s="10" t="n">
        <v>0.15</v>
      </c>
      <c r="J17" s="10" t="n">
        <v>0</v>
      </c>
    </row>
    <row r="19">
      <c r="A19" s="3" t="inlineStr">
        <is>
          <t>Funnel Output (Monthly)</t>
        </is>
      </c>
    </row>
    <row r="20">
      <c r="A20" s="4" t="inlineStr">
        <is>
          <t>Flow</t>
        </is>
      </c>
      <c r="B20" s="4" t="inlineStr">
        <is>
          <t>Monthly Inflow</t>
        </is>
      </c>
      <c r="C20" s="4" t="inlineStr">
        <is>
          <t>Effective Enrollments</t>
        </is>
      </c>
      <c r="D20" s="4" t="inlineStr">
        <is>
          <t>Retained (Gross)</t>
        </is>
      </c>
      <c r="E20" s="4" t="inlineStr">
        <is>
          <t>Reminder Churn</t>
        </is>
      </c>
      <c r="F20" s="4" t="inlineStr">
        <is>
          <t>Net Retained/Mo</t>
        </is>
      </c>
      <c r="G20" s="4" t="inlineStr">
        <is>
          <t>Wtd ARPU</t>
        </is>
      </c>
      <c r="H20" s="4" t="inlineStr">
        <is>
          <t>Rev Saved/Mo</t>
        </is>
      </c>
      <c r="I20" s="4" t="inlineStr">
        <is>
          <t>Wtd Remaining Mo</t>
        </is>
      </c>
      <c r="J20" s="4" t="inlineStr">
        <is>
          <t>LTV Saved</t>
        </is>
      </c>
    </row>
    <row r="21">
      <c r="A21" s="5" t="inlineStr">
        <is>
          <t>EL Re-engage</t>
        </is>
      </c>
      <c r="B21" s="11">
        <f>B13</f>
        <v/>
      </c>
      <c r="C21" s="9">
        <f>B21*(1-C13)*(1-D13)</f>
        <v/>
      </c>
      <c r="D21" s="12">
        <f>C21*(1-E13/2)*F13*G13*H13*I13</f>
        <v/>
      </c>
      <c r="E21" s="13">
        <f>C21*(1-E13/2)*F13*G13*J13</f>
        <v/>
      </c>
      <c r="F21" s="14">
        <f>D21-E21</f>
        <v/>
      </c>
      <c r="G21" s="6" t="n">
        <v>18.24558563861094</v>
      </c>
      <c r="H21" s="15">
        <f>F21*G21</f>
        <v/>
      </c>
      <c r="I21" s="8" t="n">
        <v>23.33169511477339</v>
      </c>
      <c r="J21" s="15">
        <f>H21*I21</f>
        <v/>
      </c>
    </row>
    <row r="22">
      <c r="A22" s="5" t="inlineStr">
        <is>
          <t>DL Win-back</t>
        </is>
      </c>
      <c r="B22" s="11">
        <f>B14</f>
        <v/>
      </c>
      <c r="C22" s="9">
        <f>B22*(1-C14)*(1-D14)</f>
        <v/>
      </c>
      <c r="D22" s="12">
        <f>C22*(1-E14/2)*F14*G14*H14*I14</f>
        <v/>
      </c>
      <c r="E22" s="13">
        <f>C22*(1-E14/2)*F14*G14*J14</f>
        <v/>
      </c>
      <c r="F22" s="14">
        <f>D22-E22</f>
        <v/>
      </c>
      <c r="G22" s="6" t="n">
        <v>17.46235004108463</v>
      </c>
      <c r="H22" s="15">
        <f>F22*G22</f>
        <v/>
      </c>
      <c r="I22" s="8" t="n">
        <v>22.60714872637634</v>
      </c>
      <c r="J22" s="15">
        <f>H22*I22</f>
        <v/>
      </c>
    </row>
    <row r="23">
      <c r="A23" s="5" t="inlineStr">
        <is>
          <t>Dormant</t>
        </is>
      </c>
      <c r="B23" s="11">
        <f>B15</f>
        <v/>
      </c>
      <c r="C23" s="9">
        <f>B23*(1-C15)*(1-D15)</f>
        <v/>
      </c>
      <c r="D23" s="12">
        <f>C23*(1-E15/2)*F15*G15*H15*I15</f>
        <v/>
      </c>
      <c r="E23" s="13">
        <f>C23*(1-E15/2)*F15*G15*J15</f>
        <v/>
      </c>
      <c r="F23" s="14">
        <f>D23-E23</f>
        <v/>
      </c>
      <c r="G23" s="6" t="n">
        <v>16.74459909228442</v>
      </c>
      <c r="H23" s="15">
        <f>F23*G23</f>
        <v/>
      </c>
      <c r="I23" s="8" t="n">
        <v>21.97912254160363</v>
      </c>
      <c r="J23" s="15">
        <f>H23*I23</f>
        <v/>
      </c>
    </row>
    <row r="24">
      <c r="A24" s="5" t="inlineStr">
        <is>
          <t>AB Nudge</t>
        </is>
      </c>
      <c r="B24" s="11">
        <f>B16</f>
        <v/>
      </c>
      <c r="C24" s="9">
        <f>B24*(1-C16)*(1-D16)</f>
        <v/>
      </c>
      <c r="D24" s="12">
        <f>C24*(1-E16/2)*F16*G16*H16*I16</f>
        <v/>
      </c>
      <c r="E24" s="13">
        <f>C24*(1-E16/2)*F16*G16*J16</f>
        <v/>
      </c>
      <c r="F24" s="14">
        <f>D24-E24</f>
        <v/>
      </c>
      <c r="G24" s="6" t="n">
        <v>18.95507070707071</v>
      </c>
      <c r="H24" s="15">
        <f>F24*G24</f>
        <v/>
      </c>
      <c r="I24" s="8" t="n">
        <v>23.70222222222222</v>
      </c>
      <c r="J24" s="15">
        <f>H24*I24</f>
        <v/>
      </c>
    </row>
    <row r="25">
      <c r="A25" s="5" t="inlineStr">
        <is>
          <t>AD Reinforce</t>
        </is>
      </c>
      <c r="B25" s="11">
        <f>B17</f>
        <v/>
      </c>
      <c r="C25" s="9">
        <f>B25*(1-C17)*(1-D17)</f>
        <v/>
      </c>
      <c r="D25" s="12">
        <f>C25*(1-E17/2)*F17*G17*H17*I17</f>
        <v/>
      </c>
      <c r="E25" s="13">
        <f>C25*(1-E17/2)*F17*G17*J17</f>
        <v/>
      </c>
      <c r="F25" s="14">
        <f>D25-E25</f>
        <v/>
      </c>
      <c r="G25" s="6" t="n">
        <v>19.35071950750289</v>
      </c>
      <c r="H25" s="15">
        <f>F25*G25</f>
        <v/>
      </c>
      <c r="I25" s="8" t="n">
        <v>24.12089265101962</v>
      </c>
      <c r="J25" s="15">
        <f>H25*I25</f>
        <v/>
      </c>
    </row>
    <row r="26">
      <c r="A26" s="16" t="inlineStr">
        <is>
          <t>TOTAL</t>
        </is>
      </c>
      <c r="B26" s="17">
        <f>SUM(B21:B25)</f>
        <v/>
      </c>
      <c r="C26" s="17">
        <f>SUM(C21:C25)</f>
        <v/>
      </c>
      <c r="D26" s="18">
        <f>SUM(D21:D25)</f>
        <v/>
      </c>
      <c r="E26" s="19">
        <f>SUM(E21:E25)</f>
        <v/>
      </c>
      <c r="F26" s="14">
        <f>SUM(F21:F25)</f>
        <v/>
      </c>
      <c r="H26" s="20">
        <f>SUM(H21:H25)</f>
        <v/>
      </c>
      <c r="J26" s="20">
        <f>SUM(J21:J25)</f>
        <v/>
      </c>
    </row>
    <row r="28">
      <c r="A28" s="3" t="inlineStr">
        <is>
          <t>How to Read This Model</t>
        </is>
      </c>
    </row>
    <row r="29">
      <c r="A29" s="2" t="inlineStr">
        <is>
          <t>1. Monthly Inflow: subscribers transitioning INTO each segment per month (from s2 transition data).</t>
        </is>
      </c>
    </row>
    <row r="30">
      <c r="A30" s="2" t="inlineStr">
        <is>
          <t>2. Cooldown Block: % of inflow blocked because subscriber completed this flow within the cooldown period.</t>
        </is>
      </c>
    </row>
    <row r="31">
      <c r="A31" s="2" t="inlineStr">
        <is>
          <t>3. Dedup Block: % of inflow blocked because subscriber is already in a higher-priority flow.</t>
        </is>
      </c>
    </row>
    <row r="32">
      <c r="A32" s="2" t="inlineStr">
        <is>
          <t>4. Early Exit Rate: % of enrolled subscribers who re-engage (or escalate) before completing the series.</t>
        </is>
      </c>
    </row>
    <row r="33">
      <c r="A33" s="2" t="inlineStr">
        <is>
          <t>5. Early exiters are modeled as receiving ~half the series on average.</t>
        </is>
      </c>
    </row>
    <row r="34">
      <c r="A34" s="2" t="inlineStr">
        <is>
          <t>6. Retention Rate: of subscribers who click through, what % are saved from churning.</t>
        </is>
      </c>
    </row>
    <row r="35">
      <c r="A35" s="2" t="inlineStr">
        <is>
          <t>7. Reminder Churn: of subscribers who open, what % cancel (Dormant/Deep Lapse only).</t>
        </is>
      </c>
    </row>
    <row r="36">
      <c r="A36" s="2" t="inlineStr">
        <is>
          <t>8. Weighted ARPU and Remaining Months are plan-weighted by each flow's transition mix (not adjustable here).</t>
        </is>
      </c>
    </row>
    <row r="37">
      <c r="A37" s="2" t="inlineStr">
        <is>
          <t>9. All blue cells are adjustable. Cooldown/dedup/early-exit rates are estimates — calibrate after deployment.</t>
        </is>
      </c>
    </row>
    <row r="38">
      <c r="A38" s="2" t="inlineStr">
        <is>
          <t>10. Inflow volumes will update when s2.csv is refreshed with rolling-window query data.</t>
        </is>
      </c>
    </row>
  </sheetData>
  <mergeCells count="12">
    <mergeCell ref="A30:L30"/>
    <mergeCell ref="A2:L2"/>
    <mergeCell ref="A38:L38"/>
    <mergeCell ref="A29:L29"/>
    <mergeCell ref="A33:L33"/>
    <mergeCell ref="A1:L1"/>
    <mergeCell ref="A37:L37"/>
    <mergeCell ref="A32:L32"/>
    <mergeCell ref="A36:L36"/>
    <mergeCell ref="A31:L31"/>
    <mergeCell ref="A34:L34"/>
    <mergeCell ref="A35:L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2026-03-25T12:25:19Z</dcterms:created>
  <dcterms:modified xsi:type="dcterms:W3CDTF">2026-03-25T12:25:19Z</dcterms:modified>
</cp:coreProperties>
</file>