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dev/PycharmProjects/dev/lifecycle_email_flow/retention_sizing/"/>
    </mc:Choice>
  </mc:AlternateContent>
  <xr:revisionPtr revIDLastSave="0" documentId="13_ncr:1_{D90E3B27-A38D-8543-8D16-F8BCAAD419F1}" xr6:coauthVersionLast="47" xr6:coauthVersionMax="47" xr10:uidLastSave="{00000000-0000-0000-0000-000000000000}"/>
  <bookViews>
    <workbookView xWindow="0" yWindow="760" windowWidth="34560" windowHeight="19880" xr2:uid="{00000000-000D-0000-FFFF-FFFF00000000}"/>
  </bookViews>
  <sheets>
    <sheet name="Retention 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K34" i="1"/>
  <c r="L34" i="1" s="1"/>
  <c r="M34" i="1" s="1"/>
  <c r="I34" i="1"/>
  <c r="J34" i="1" s="1"/>
  <c r="H34" i="1"/>
  <c r="E34" i="1"/>
  <c r="F34" i="1" s="1"/>
  <c r="G34" i="1" s="1"/>
  <c r="B34" i="1"/>
  <c r="C34" i="1" s="1"/>
  <c r="K33" i="1"/>
  <c r="L33" i="1" s="1"/>
  <c r="M33" i="1" s="1"/>
  <c r="H33" i="1"/>
  <c r="I33" i="1" s="1"/>
  <c r="J33" i="1" s="1"/>
  <c r="E33" i="1"/>
  <c r="F33" i="1" s="1"/>
  <c r="G33" i="1" s="1"/>
  <c r="B33" i="1"/>
  <c r="C33" i="1" s="1"/>
  <c r="K32" i="1"/>
  <c r="L32" i="1" s="1"/>
  <c r="M32" i="1" s="1"/>
  <c r="H32" i="1"/>
  <c r="I32" i="1" s="1"/>
  <c r="J32" i="1" s="1"/>
  <c r="E32" i="1"/>
  <c r="F32" i="1" s="1"/>
  <c r="G32" i="1" s="1"/>
  <c r="B32" i="1"/>
  <c r="C32" i="1" s="1"/>
  <c r="K31" i="1"/>
  <c r="L31" i="1" s="1"/>
  <c r="M31" i="1" s="1"/>
  <c r="H31" i="1"/>
  <c r="I31" i="1" s="1"/>
  <c r="J31" i="1" s="1"/>
  <c r="E31" i="1"/>
  <c r="F31" i="1" s="1"/>
  <c r="G31" i="1" s="1"/>
  <c r="B31" i="1"/>
  <c r="C31" i="1" s="1"/>
  <c r="K30" i="1"/>
  <c r="H30" i="1"/>
  <c r="E30" i="1"/>
  <c r="B30" i="1"/>
  <c r="F26" i="1"/>
  <c r="E26" i="1"/>
  <c r="D26" i="1"/>
  <c r="C26" i="1"/>
  <c r="B26" i="1"/>
  <c r="D9" i="1"/>
  <c r="D8" i="1"/>
  <c r="D7" i="1"/>
  <c r="D6" i="1"/>
  <c r="D34" i="1" l="1"/>
  <c r="N34" i="1"/>
  <c r="N33" i="1"/>
  <c r="D33" i="1"/>
  <c r="D32" i="1"/>
  <c r="N32" i="1"/>
  <c r="D31" i="1"/>
  <c r="N31" i="1"/>
  <c r="K35" i="1"/>
  <c r="L30" i="1"/>
  <c r="H35" i="1"/>
  <c r="I30" i="1"/>
  <c r="E35" i="1"/>
  <c r="F30" i="1"/>
  <c r="B35" i="1"/>
  <c r="O34" i="1" l="1"/>
  <c r="P34" i="1"/>
  <c r="O33" i="1"/>
  <c r="P33" i="1"/>
  <c r="P32" i="1"/>
  <c r="O32" i="1"/>
  <c r="P31" i="1"/>
  <c r="O31" i="1"/>
  <c r="L35" i="1"/>
  <c r="M30" i="1"/>
  <c r="B42" i="1"/>
  <c r="B41" i="1"/>
  <c r="J30" i="1"/>
  <c r="I35" i="1"/>
  <c r="G30" i="1"/>
  <c r="F35" i="1"/>
  <c r="B40" i="1"/>
  <c r="C35" i="1"/>
  <c r="N30" i="1"/>
  <c r="N35" i="1" s="1"/>
  <c r="D30" i="1"/>
  <c r="B39" i="1"/>
  <c r="B43" i="1" l="1"/>
  <c r="M35" i="1"/>
  <c r="C42" i="1"/>
  <c r="D42" i="1" s="1"/>
  <c r="J35" i="1"/>
  <c r="C41" i="1"/>
  <c r="D41" i="1" s="1"/>
  <c r="G35" i="1"/>
  <c r="C40" i="1"/>
  <c r="D40" i="1" s="1"/>
  <c r="C39" i="1"/>
  <c r="P30" i="1"/>
  <c r="P35" i="1" s="1"/>
  <c r="O30" i="1"/>
  <c r="O35" i="1" s="1"/>
  <c r="D35" i="1"/>
  <c r="D39" i="1" l="1"/>
  <c r="D43" i="1" s="1"/>
  <c r="C43" i="1"/>
</calcChain>
</file>

<file path=xl/sharedStrings.xml><?xml version="1.0" encoding="utf-8"?>
<sst xmlns="http://schemas.openxmlformats.org/spreadsheetml/2006/main" count="78" uniqueCount="56">
  <si>
    <t>Lifecycle Email Retention Model — Initial Ramp-Up</t>
  </si>
  <si>
    <t>Blue cells = adjustable inputs. Gray = calculated. Green = key outputs. Red = negative effects.</t>
  </si>
  <si>
    <t>Plan Inputs</t>
  </si>
  <si>
    <t>Plan Type</t>
  </si>
  <si>
    <t>Monthly ARPU</t>
  </si>
  <si>
    <t>Monthly Churn</t>
  </si>
  <si>
    <t>Remaining Months</t>
  </si>
  <si>
    <t>Business</t>
  </si>
  <si>
    <t>Personal (Creator)</t>
  </si>
  <si>
    <t>Pro</t>
  </si>
  <si>
    <t>Pro Plus</t>
  </si>
  <si>
    <t>Email Funnel Parameters</t>
  </si>
  <si>
    <t>Segment</t>
  </si>
  <si>
    <t>Delivery Rate</t>
  </si>
  <si>
    <t>Open Rate</t>
  </si>
  <si>
    <t>Click Rate</t>
  </si>
  <si>
    <t>Retention Rate</t>
  </si>
  <si>
    <t>Reminder Churn</t>
  </si>
  <si>
    <t>Active Downloader</t>
  </si>
  <si>
    <t>Active Browser</t>
  </si>
  <si>
    <t>Early Lapse</t>
  </si>
  <si>
    <t>Deep Lapse</t>
  </si>
  <si>
    <t>Dormant</t>
  </si>
  <si>
    <t>Segment Sizes (6-Month Avg, excl. Enterprise &amp; New)</t>
  </si>
  <si>
    <t>Total</t>
  </si>
  <si>
    <t>Funnel Output (Monthly)</t>
  </si>
  <si>
    <t>Biz Size</t>
  </si>
  <si>
    <t>Biz Net</t>
  </si>
  <si>
    <t>Biz Rev</t>
  </si>
  <si>
    <t>Creator Size</t>
  </si>
  <si>
    <t>Creator Net</t>
  </si>
  <si>
    <t>Creator Rev</t>
  </si>
  <si>
    <t>Pro Size</t>
  </si>
  <si>
    <t>Pro Net</t>
  </si>
  <si>
    <t>Pro Rev</t>
  </si>
  <si>
    <t>Pro+ Size</t>
  </si>
  <si>
    <t>Pro+ Net</t>
  </si>
  <si>
    <t>Pro+ Rev</t>
  </si>
  <si>
    <t>All Net/Mo</t>
  </si>
  <si>
    <t>All Rev/Mo</t>
  </si>
  <si>
    <t>All LTV</t>
  </si>
  <si>
    <t>TOTAL</t>
  </si>
  <si>
    <t>Summary by Plan Type</t>
  </si>
  <si>
    <t>Net Retained/Mo</t>
  </si>
  <si>
    <t>Monthly Rev Saved</t>
  </si>
  <si>
    <t>LTV Saved</t>
  </si>
  <si>
    <t>GRAND TOTAL</t>
  </si>
  <si>
    <t>How to Read This Model</t>
  </si>
  <si>
    <t>1. Net Retained/Mo: subscribers saved from churning minus reminder churn. Monthly subscriber impact.</t>
  </si>
  <si>
    <t>2. Rev Saved/Mo: net retained × plan ARPU. Monthly incremental revenue from the program.</t>
  </si>
  <si>
    <t>3. LTV Saved: monthly rev × implied remaining months. Total lifetime value protected.</t>
  </si>
  <si>
    <t>4. To adjust: change the blue cells in Plan Inputs or Email Funnel Parameters. All outputs update.</t>
  </si>
  <si>
    <t>5. Reminder Churn: Deep Lapse/Dormant subscribers who open an email and cancel (reminded they're paying). Set to 0% for active segments.</t>
  </si>
  <si>
    <t>6. Retention Rate: of subscribers who click, what % are saved from churning. Core value driver.</t>
  </si>
  <si>
    <t>7. Segment sizes are 6-month trailing averages (Sep 2025 - Feb 2026). Enterprise and new subscribers excluded.</t>
  </si>
  <si>
    <t>8. Default funnel parameters are starting points for discussion, not calibrated predictions.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</si>
</sst>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0.0"/>
    <numFmt numFmtId="166" formatCode="0.0%"/>
    <numFmt numFmtId="167" formatCode="#,##0.0"/>
    <numFmt numFmtId="168" formatCode="\$#,##0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9"/>
      <color rgb="FF6B7280"/>
      <name val="Calibri"/>
      <family val="2"/>
    </font>
    <font>
      <b/>
      <sz val="12"/>
      <color rgb="FF37415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74151"/>
        <bgColor rgb="FF374151"/>
      </patternFill>
    </fill>
    <fill>
      <patternFill patternType="solid">
        <fgColor rgb="FFDBEAFE"/>
        <bgColor rgb="FFDBEAFE"/>
      </patternFill>
    </fill>
    <fill>
      <patternFill patternType="solid">
        <fgColor rgb="FFF3F4F6"/>
        <bgColor rgb="FFF3F4F6"/>
      </patternFill>
    </fill>
    <fill>
      <patternFill patternType="solid">
        <fgColor rgb="FFD1FAE5"/>
        <bgColor rgb="FFD1FAE5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/>
    <xf numFmtId="0" fontId="4" fillId="2" borderId="1" xfId="0" applyFont="1" applyFill="1" applyBorder="1" applyAlignment="1">
      <alignment horizontal="center" wrapText="1"/>
    </xf>
    <xf numFmtId="0" fontId="5" fillId="0" borderId="1" xfId="0" applyFont="1" applyBorder="1"/>
    <xf numFmtId="164" fontId="5" fillId="3" borderId="1" xfId="0" applyNumberFormat="1" applyFont="1" applyFill="1" applyBorder="1"/>
    <xf numFmtId="10" fontId="5" fillId="3" borderId="1" xfId="0" applyNumberFormat="1" applyFont="1" applyFill="1" applyBorder="1"/>
    <xf numFmtId="165" fontId="5" fillId="4" borderId="1" xfId="0" applyNumberFormat="1" applyFont="1" applyFill="1" applyBorder="1"/>
    <xf numFmtId="166" fontId="5" fillId="3" borderId="1" xfId="0" applyNumberFormat="1" applyFont="1" applyFill="1" applyBorder="1"/>
    <xf numFmtId="3" fontId="5" fillId="0" borderId="1" xfId="0" applyNumberFormat="1" applyFont="1" applyBorder="1"/>
    <xf numFmtId="3" fontId="6" fillId="0" borderId="1" xfId="0" applyNumberFormat="1" applyFont="1" applyBorder="1"/>
    <xf numFmtId="0" fontId="6" fillId="0" borderId="1" xfId="0" applyFont="1" applyBorder="1"/>
    <xf numFmtId="167" fontId="5" fillId="5" borderId="1" xfId="0" applyNumberFormat="1" applyFont="1" applyFill="1" applyBorder="1"/>
    <xf numFmtId="168" fontId="5" fillId="5" borderId="1" xfId="0" applyNumberFormat="1" applyFont="1" applyFill="1" applyBorder="1"/>
    <xf numFmtId="167" fontId="6" fillId="5" borderId="1" xfId="0" applyNumberFormat="1" applyFont="1" applyFill="1" applyBorder="1"/>
    <xf numFmtId="168" fontId="6" fillId="5" borderId="1" xfId="0" applyNumberFormat="1" applyFont="1" applyFill="1" applyBorder="1"/>
    <xf numFmtId="3" fontId="6" fillId="4" borderId="1" xfId="0" applyNumberFormat="1" applyFont="1" applyFill="1" applyBorder="1"/>
    <xf numFmtId="0" fontId="2" fillId="0" borderId="1" xfId="0" applyFont="1" applyBorder="1"/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9669"/>
  </sheetPr>
  <dimension ref="A1:P53"/>
  <sheetViews>
    <sheetView tabSelected="1" workbookViewId="0">
      <selection activeCell="F16" sqref="F16"/>
    </sheetView>
  </sheetViews>
  <sheetFormatPr baseColWidth="10" defaultColWidth="8.83203125" defaultRowHeight="15" x14ac:dyDescent="0.2"/>
  <cols>
    <col min="1" max="1" width="22" customWidth="1"/>
    <col min="2" max="2" width="12" customWidth="1"/>
    <col min="3" max="4" width="14" customWidth="1"/>
    <col min="5" max="5" width="12" customWidth="1"/>
    <col min="6" max="7" width="14" customWidth="1"/>
    <col min="8" max="8" width="12" customWidth="1"/>
    <col min="9" max="10" width="14" customWidth="1"/>
    <col min="11" max="11" width="12" customWidth="1"/>
    <col min="12" max="16" width="14" customWidth="1"/>
  </cols>
  <sheetData>
    <row r="1" spans="1:10" ht="19" x14ac:dyDescent="0.25">
      <c r="A1" s="18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x14ac:dyDescent="0.2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</row>
    <row r="4" spans="1:10" ht="16" x14ac:dyDescent="0.2">
      <c r="A4" s="1" t="s">
        <v>2</v>
      </c>
    </row>
    <row r="5" spans="1:10" ht="32" x14ac:dyDescent="0.2">
      <c r="A5" s="2" t="s">
        <v>3</v>
      </c>
      <c r="B5" s="2" t="s">
        <v>4</v>
      </c>
      <c r="C5" s="2" t="s">
        <v>5</v>
      </c>
      <c r="D5" s="2" t="s">
        <v>6</v>
      </c>
    </row>
    <row r="6" spans="1:10" x14ac:dyDescent="0.2">
      <c r="A6" s="3" t="s">
        <v>7</v>
      </c>
      <c r="B6" s="4">
        <v>85.12</v>
      </c>
      <c r="C6" s="5">
        <v>2.3E-2</v>
      </c>
      <c r="D6" s="6">
        <f>MIN(60, 1/C6)</f>
        <v>43.478260869565219</v>
      </c>
    </row>
    <row r="7" spans="1:10" x14ac:dyDescent="0.2">
      <c r="A7" s="3" t="s">
        <v>8</v>
      </c>
      <c r="B7" s="4">
        <v>12.62</v>
      </c>
      <c r="C7" s="5">
        <v>5.9200000000000003E-2</v>
      </c>
      <c r="D7" s="6">
        <f>MIN(60, 1/C7)</f>
        <v>16.891891891891891</v>
      </c>
    </row>
    <row r="8" spans="1:10" x14ac:dyDescent="0.2">
      <c r="A8" s="3" t="s">
        <v>9</v>
      </c>
      <c r="B8" s="4">
        <v>18.77</v>
      </c>
      <c r="C8" s="5">
        <v>3.8800000000000001E-2</v>
      </c>
      <c r="D8" s="6">
        <f>MIN(60, 1/C8)</f>
        <v>25.773195876288661</v>
      </c>
    </row>
    <row r="9" spans="1:10" x14ac:dyDescent="0.2">
      <c r="A9" s="3" t="s">
        <v>10</v>
      </c>
      <c r="B9" s="4">
        <v>34.85</v>
      </c>
      <c r="C9" s="5">
        <v>3.8699999999999998E-2</v>
      </c>
      <c r="D9" s="6">
        <f>MIN(60, 1/C9)</f>
        <v>25.839793281653748</v>
      </c>
    </row>
    <row r="11" spans="1:10" ht="16" x14ac:dyDescent="0.2">
      <c r="A11" s="1" t="s">
        <v>11</v>
      </c>
    </row>
    <row r="12" spans="1:10" ht="32" x14ac:dyDescent="0.2">
      <c r="A12" s="2" t="s">
        <v>12</v>
      </c>
      <c r="B12" s="2" t="s">
        <v>13</v>
      </c>
      <c r="C12" s="2" t="s">
        <v>14</v>
      </c>
      <c r="D12" s="2" t="s">
        <v>15</v>
      </c>
      <c r="E12" s="2" t="s">
        <v>16</v>
      </c>
      <c r="F12" s="2" t="s">
        <v>17</v>
      </c>
    </row>
    <row r="13" spans="1:10" x14ac:dyDescent="0.2">
      <c r="A13" s="3" t="s">
        <v>18</v>
      </c>
      <c r="B13" s="7">
        <v>0.95</v>
      </c>
      <c r="C13" s="7">
        <v>0.25</v>
      </c>
      <c r="D13" s="7">
        <v>0.08</v>
      </c>
      <c r="E13" s="7">
        <v>0.15</v>
      </c>
      <c r="F13" s="7">
        <v>0</v>
      </c>
    </row>
    <row r="14" spans="1:10" x14ac:dyDescent="0.2">
      <c r="A14" s="3" t="s">
        <v>19</v>
      </c>
      <c r="B14" s="7">
        <v>0.95</v>
      </c>
      <c r="C14" s="7">
        <v>0.28000000000000003</v>
      </c>
      <c r="D14" s="7">
        <v>0.12</v>
      </c>
      <c r="E14" s="7">
        <v>0.2</v>
      </c>
      <c r="F14" s="7">
        <v>0</v>
      </c>
    </row>
    <row r="15" spans="1:10" x14ac:dyDescent="0.2">
      <c r="A15" s="3" t="s">
        <v>20</v>
      </c>
      <c r="B15" s="7">
        <v>0.95</v>
      </c>
      <c r="C15" s="7">
        <v>0.22</v>
      </c>
      <c r="D15" s="7">
        <v>0.08</v>
      </c>
      <c r="E15" s="7">
        <v>0.2</v>
      </c>
      <c r="F15" s="7">
        <v>0</v>
      </c>
    </row>
    <row r="16" spans="1:10" x14ac:dyDescent="0.2">
      <c r="A16" s="3" t="s">
        <v>21</v>
      </c>
      <c r="B16" s="7">
        <v>0.93</v>
      </c>
      <c r="C16" s="7">
        <v>0.15</v>
      </c>
      <c r="D16" s="7">
        <v>0.05</v>
      </c>
      <c r="E16" s="7">
        <v>0.1</v>
      </c>
      <c r="F16" s="7">
        <v>0.05</v>
      </c>
    </row>
    <row r="17" spans="1:16" x14ac:dyDescent="0.2">
      <c r="A17" s="3" t="s">
        <v>22</v>
      </c>
      <c r="B17" s="7">
        <v>0.9</v>
      </c>
      <c r="C17" s="7">
        <v>0.1</v>
      </c>
      <c r="D17" s="7">
        <v>0.03</v>
      </c>
      <c r="E17" s="7">
        <v>0.05</v>
      </c>
      <c r="F17" s="7">
        <v>0.08</v>
      </c>
    </row>
    <row r="19" spans="1:16" ht="16" x14ac:dyDescent="0.2">
      <c r="A19" s="1" t="s">
        <v>23</v>
      </c>
    </row>
    <row r="20" spans="1:16" ht="32" x14ac:dyDescent="0.2">
      <c r="A20" s="2" t="s">
        <v>12</v>
      </c>
      <c r="B20" s="2" t="s">
        <v>7</v>
      </c>
      <c r="C20" s="2" t="s">
        <v>8</v>
      </c>
      <c r="D20" s="2" t="s">
        <v>9</v>
      </c>
      <c r="E20" s="2" t="s">
        <v>10</v>
      </c>
      <c r="F20" s="2" t="s">
        <v>24</v>
      </c>
    </row>
    <row r="21" spans="1:16" x14ac:dyDescent="0.2">
      <c r="A21" s="3" t="s">
        <v>18</v>
      </c>
      <c r="B21" s="8">
        <v>111</v>
      </c>
      <c r="C21" s="8">
        <v>2219</v>
      </c>
      <c r="D21" s="8">
        <v>8017</v>
      </c>
      <c r="E21" s="8">
        <v>894</v>
      </c>
      <c r="F21" s="9">
        <v>11241</v>
      </c>
    </row>
    <row r="22" spans="1:16" x14ac:dyDescent="0.2">
      <c r="A22" s="3" t="s">
        <v>19</v>
      </c>
      <c r="B22" s="8">
        <v>22</v>
      </c>
      <c r="C22" s="8">
        <v>832</v>
      </c>
      <c r="D22" s="8">
        <v>1994</v>
      </c>
      <c r="E22" s="8">
        <v>203</v>
      </c>
      <c r="F22" s="9">
        <v>3051</v>
      </c>
    </row>
    <row r="23" spans="1:16" x14ac:dyDescent="0.2">
      <c r="A23" s="3" t="s">
        <v>20</v>
      </c>
      <c r="B23" s="8">
        <v>39</v>
      </c>
      <c r="C23" s="8">
        <v>2702</v>
      </c>
      <c r="D23" s="8">
        <v>5192</v>
      </c>
      <c r="E23" s="8">
        <v>382</v>
      </c>
      <c r="F23" s="9">
        <v>8315</v>
      </c>
    </row>
    <row r="24" spans="1:16" x14ac:dyDescent="0.2">
      <c r="A24" s="3" t="s">
        <v>21</v>
      </c>
      <c r="B24" s="8">
        <v>14</v>
      </c>
      <c r="C24" s="8">
        <v>1300</v>
      </c>
      <c r="D24" s="8">
        <v>1967</v>
      </c>
      <c r="E24" s="8">
        <v>125</v>
      </c>
      <c r="F24" s="9">
        <v>3406</v>
      </c>
    </row>
    <row r="25" spans="1:16" x14ac:dyDescent="0.2">
      <c r="A25" s="3" t="s">
        <v>22</v>
      </c>
      <c r="B25" s="8">
        <v>6</v>
      </c>
      <c r="C25" s="8">
        <v>3406</v>
      </c>
      <c r="D25" s="8">
        <v>4074</v>
      </c>
      <c r="E25" s="8">
        <v>240</v>
      </c>
      <c r="F25" s="9">
        <v>7726</v>
      </c>
    </row>
    <row r="26" spans="1:16" x14ac:dyDescent="0.2">
      <c r="A26" s="10" t="s">
        <v>24</v>
      </c>
      <c r="B26" s="9">
        <f>SUM(B21:B25)</f>
        <v>192</v>
      </c>
      <c r="C26" s="9">
        <f>SUM(C21:C25)</f>
        <v>10459</v>
      </c>
      <c r="D26" s="9">
        <f>SUM(D21:D25)</f>
        <v>21244</v>
      </c>
      <c r="E26" s="9">
        <f>SUM(E21:E25)</f>
        <v>1844</v>
      </c>
      <c r="F26" s="9">
        <f>SUM(F21:F25)</f>
        <v>33739</v>
      </c>
    </row>
    <row r="28" spans="1:16" ht="16" x14ac:dyDescent="0.2">
      <c r="A28" s="1" t="s">
        <v>25</v>
      </c>
    </row>
    <row r="29" spans="1:16" ht="16" x14ac:dyDescent="0.2">
      <c r="A29" s="2" t="s">
        <v>12</v>
      </c>
      <c r="B29" s="2" t="s">
        <v>26</v>
      </c>
      <c r="C29" s="2" t="s">
        <v>27</v>
      </c>
      <c r="D29" s="2" t="s">
        <v>28</v>
      </c>
      <c r="E29" s="2" t="s">
        <v>29</v>
      </c>
      <c r="F29" s="2" t="s">
        <v>30</v>
      </c>
      <c r="G29" s="2" t="s">
        <v>31</v>
      </c>
      <c r="H29" s="2" t="s">
        <v>32</v>
      </c>
      <c r="I29" s="2" t="s">
        <v>33</v>
      </c>
      <c r="J29" s="2" t="s">
        <v>34</v>
      </c>
      <c r="K29" s="2" t="s">
        <v>35</v>
      </c>
      <c r="L29" s="2" t="s">
        <v>36</v>
      </c>
      <c r="M29" s="2" t="s">
        <v>37</v>
      </c>
      <c r="N29" s="2" t="s">
        <v>38</v>
      </c>
      <c r="O29" s="2" t="s">
        <v>39</v>
      </c>
      <c r="P29" s="2" t="s">
        <v>40</v>
      </c>
    </row>
    <row r="30" spans="1:16" x14ac:dyDescent="0.2">
      <c r="A30" s="3" t="s">
        <v>18</v>
      </c>
      <c r="B30" s="8">
        <f>B21</f>
        <v>111</v>
      </c>
      <c r="C30" s="11">
        <f>B30*$B$13*$C$13*($D$13*$E$13-$F$13)</f>
        <v>0.31634999999999996</v>
      </c>
      <c r="D30" s="12">
        <f>C30*$B$6</f>
        <v>26.927712</v>
      </c>
      <c r="E30" s="8">
        <f>C21</f>
        <v>2219</v>
      </c>
      <c r="F30" s="11">
        <f>E30*$B$13*$C$13*($D$13*$E$13-$F$13)</f>
        <v>6.3241499999999995</v>
      </c>
      <c r="G30" s="12">
        <f>F30*$B$7</f>
        <v>79.810772999999983</v>
      </c>
      <c r="H30" s="8">
        <f>D21</f>
        <v>8017</v>
      </c>
      <c r="I30" s="11">
        <f>H30*$B$13*$C$13*($D$13*$E$13-$F$13)</f>
        <v>22.84845</v>
      </c>
      <c r="J30" s="12">
        <f>I30*$B$8</f>
        <v>428.86540650000001</v>
      </c>
      <c r="K30" s="8">
        <f>E21</f>
        <v>894</v>
      </c>
      <c r="L30" s="11">
        <f>K30*$B$13*$C$13*($D$13*$E$13-$F$13)</f>
        <v>2.5478999999999998</v>
      </c>
      <c r="M30" s="12">
        <f>L30*$B$9</f>
        <v>88.794314999999997</v>
      </c>
      <c r="N30" s="13">
        <f t="shared" ref="N30:O34" si="0">C30+F30+I30+L30</f>
        <v>32.036850000000001</v>
      </c>
      <c r="O30" s="14">
        <f t="shared" si="0"/>
        <v>624.39820650000001</v>
      </c>
      <c r="P30" s="14">
        <f>D30*$D$6+G30*$D$7+J30*$D$8+M30*$D$9</f>
        <v>15866.583906755552</v>
      </c>
    </row>
    <row r="31" spans="1:16" x14ac:dyDescent="0.2">
      <c r="A31" s="3" t="s">
        <v>19</v>
      </c>
      <c r="B31" s="8">
        <f>B22</f>
        <v>22</v>
      </c>
      <c r="C31" s="11">
        <f>B31*$B$14*$C$14*($D$14*$E$14-$F$14)</f>
        <v>0.14044800000000002</v>
      </c>
      <c r="D31" s="12">
        <f>C31*$B$6</f>
        <v>11.954933760000003</v>
      </c>
      <c r="E31" s="8">
        <f>C22</f>
        <v>832</v>
      </c>
      <c r="F31" s="11">
        <f>E31*$B$14*$C$14*($D$14*$E$14-$F$14)</f>
        <v>5.3114880000000007</v>
      </c>
      <c r="G31" s="12">
        <f>F31*$B$7</f>
        <v>67.030978560000008</v>
      </c>
      <c r="H31" s="8">
        <f>D22</f>
        <v>1994</v>
      </c>
      <c r="I31" s="11">
        <f>H31*$B$14*$C$14*($D$14*$E$14-$F$14)</f>
        <v>12.729696000000001</v>
      </c>
      <c r="J31" s="12">
        <f>I31*$B$8</f>
        <v>238.93639392</v>
      </c>
      <c r="K31" s="8">
        <f>E22</f>
        <v>203</v>
      </c>
      <c r="L31" s="11">
        <f>K31*$B$14*$C$14*($D$14*$E$14-$F$14)</f>
        <v>1.2959520000000002</v>
      </c>
      <c r="M31" s="12">
        <f>L31*$B$9</f>
        <v>45.16392720000001</v>
      </c>
      <c r="N31" s="13">
        <f t="shared" si="0"/>
        <v>19.477584</v>
      </c>
      <c r="O31" s="14">
        <f t="shared" si="0"/>
        <v>363.08623344</v>
      </c>
      <c r="P31" s="14">
        <f>D31*$D$6+G31*$D$7+J31*$D$8+M31*$D$9</f>
        <v>8977.240797048782</v>
      </c>
    </row>
    <row r="32" spans="1:16" x14ac:dyDescent="0.2">
      <c r="A32" s="3" t="s">
        <v>20</v>
      </c>
      <c r="B32" s="8">
        <f>B23</f>
        <v>39</v>
      </c>
      <c r="C32" s="11">
        <f>B32*$B$15*$C$15*($D$15*$E$15-$F$15)</f>
        <v>0.130416</v>
      </c>
      <c r="D32" s="12">
        <f>C32*$B$6</f>
        <v>11.101009920000001</v>
      </c>
      <c r="E32" s="8">
        <f>C23</f>
        <v>2702</v>
      </c>
      <c r="F32" s="11">
        <f>E32*$B$15*$C$15*($D$15*$E$15-$F$15)</f>
        <v>9.0354880000000009</v>
      </c>
      <c r="G32" s="12">
        <f>F32*$B$7</f>
        <v>114.02785856</v>
      </c>
      <c r="H32" s="8">
        <f>D23</f>
        <v>5192</v>
      </c>
      <c r="I32" s="11">
        <f>H32*$B$15*$C$15*($D$15*$E$15-$F$15)</f>
        <v>17.362047999999998</v>
      </c>
      <c r="J32" s="12">
        <f>I32*$B$8</f>
        <v>325.88564095999993</v>
      </c>
      <c r="K32" s="8">
        <f>E23</f>
        <v>382</v>
      </c>
      <c r="L32" s="11">
        <f>K32*$B$15*$C$15*($D$15*$E$15-$F$15)</f>
        <v>1.2774079999999999</v>
      </c>
      <c r="M32" s="12">
        <f>L32*$B$9</f>
        <v>44.517668799999996</v>
      </c>
      <c r="N32" s="13">
        <f t="shared" si="0"/>
        <v>27.80536</v>
      </c>
      <c r="O32" s="14">
        <f t="shared" si="0"/>
        <v>495.53217823999989</v>
      </c>
      <c r="P32" s="14">
        <f>D32*$D$6+G32*$D$7+J32*$D$8+M32*$D$9</f>
        <v>11958.240681581934</v>
      </c>
    </row>
    <row r="33" spans="1:16" x14ac:dyDescent="0.2">
      <c r="A33" s="3" t="s">
        <v>21</v>
      </c>
      <c r="B33" s="8">
        <f>B24</f>
        <v>14</v>
      </c>
      <c r="C33" s="11">
        <f>B33*$B$16*$C$16*($D$16*$E$16-$F$16)</f>
        <v>-8.7885000000000005E-2</v>
      </c>
      <c r="D33" s="12">
        <f>C33*$B$6</f>
        <v>-7.4807712000000004</v>
      </c>
      <c r="E33" s="8">
        <f>C24</f>
        <v>1300</v>
      </c>
      <c r="F33" s="11">
        <f>E33*$B$16*$C$16*($D$16*$E$16-$F$16)</f>
        <v>-8.1607500000000002</v>
      </c>
      <c r="G33" s="12">
        <f>F33*$B$7</f>
        <v>-102.988665</v>
      </c>
      <c r="H33" s="8">
        <f>D24</f>
        <v>1967</v>
      </c>
      <c r="I33" s="11">
        <f>H33*$B$16*$C$16*($D$16*$E$16-$F$16)</f>
        <v>-12.3478425</v>
      </c>
      <c r="J33" s="12">
        <f>I33*$B$8</f>
        <v>-231.769003725</v>
      </c>
      <c r="K33" s="8">
        <f>E24</f>
        <v>125</v>
      </c>
      <c r="L33" s="11">
        <f>K33*$B$16*$C$16*($D$16*$E$16-$F$16)</f>
        <v>-0.78468749999999998</v>
      </c>
      <c r="M33" s="12">
        <f>L33*$B$9</f>
        <v>-27.346359375000002</v>
      </c>
      <c r="N33" s="13">
        <f t="shared" si="0"/>
        <v>-21.381164999999999</v>
      </c>
      <c r="O33" s="14">
        <f t="shared" si="0"/>
        <v>-369.58479930000004</v>
      </c>
      <c r="P33" s="14">
        <f>D33*$D$6+G33*$D$7+J33*$D$8+M33*$D$9</f>
        <v>-8744.9765213219162</v>
      </c>
    </row>
    <row r="34" spans="1:16" x14ac:dyDescent="0.2">
      <c r="A34" s="3" t="s">
        <v>22</v>
      </c>
      <c r="B34" s="8">
        <f>B25</f>
        <v>6</v>
      </c>
      <c r="C34" s="11">
        <f>B34*$B$17*$C$17*($D$17*$E$17-$F$17)</f>
        <v>-4.2390000000000004E-2</v>
      </c>
      <c r="D34" s="12">
        <f>C34*$B$6</f>
        <v>-3.6082368000000007</v>
      </c>
      <c r="E34" s="8">
        <f>C25</f>
        <v>3406</v>
      </c>
      <c r="F34" s="11">
        <f>E34*$B$17*$C$17*($D$17*$E$17-$F$17)</f>
        <v>-24.063390000000002</v>
      </c>
      <c r="G34" s="12">
        <f>F34*$B$7</f>
        <v>-303.67998180000001</v>
      </c>
      <c r="H34" s="8">
        <f>D25</f>
        <v>4074</v>
      </c>
      <c r="I34" s="11">
        <f>H34*$B$17*$C$17*($D$17*$E$17-$F$17)</f>
        <v>-28.782810000000001</v>
      </c>
      <c r="J34" s="12">
        <f>I34*$B$8</f>
        <v>-540.25334369999996</v>
      </c>
      <c r="K34" s="8">
        <f>E25</f>
        <v>240</v>
      </c>
      <c r="L34" s="11">
        <f>K34*$B$17*$C$17*($D$17*$E$17-$F$17)</f>
        <v>-1.6956000000000002</v>
      </c>
      <c r="M34" s="12">
        <f>L34*$B$9</f>
        <v>-59.091660000000012</v>
      </c>
      <c r="N34" s="13">
        <f t="shared" si="0"/>
        <v>-54.584190000000007</v>
      </c>
      <c r="O34" s="14">
        <f t="shared" si="0"/>
        <v>-906.63322229999994</v>
      </c>
      <c r="P34" s="14">
        <f>D34*$D$6+G34*$D$7+J34*$D$8+M34*$D$9</f>
        <v>-20737.580812236629</v>
      </c>
    </row>
    <row r="35" spans="1:16" x14ac:dyDescent="0.2">
      <c r="A35" s="10" t="s">
        <v>41</v>
      </c>
      <c r="B35" s="15">
        <f t="shared" ref="B35:P35" si="1">SUM(B30:B34)</f>
        <v>192</v>
      </c>
      <c r="C35" s="13">
        <f t="shared" si="1"/>
        <v>0.45693900000000004</v>
      </c>
      <c r="D35" s="14">
        <f t="shared" si="1"/>
        <v>38.894647680000006</v>
      </c>
      <c r="E35" s="15">
        <f t="shared" si="1"/>
        <v>10459</v>
      </c>
      <c r="F35" s="13">
        <f t="shared" si="1"/>
        <v>-11.553014000000001</v>
      </c>
      <c r="G35" s="14">
        <f t="shared" si="1"/>
        <v>-145.79903668000006</v>
      </c>
      <c r="H35" s="15">
        <f t="shared" si="1"/>
        <v>21244</v>
      </c>
      <c r="I35" s="13">
        <f t="shared" si="1"/>
        <v>11.809541500000005</v>
      </c>
      <c r="J35" s="14">
        <f t="shared" si="1"/>
        <v>221.66509395499997</v>
      </c>
      <c r="K35" s="15">
        <f t="shared" si="1"/>
        <v>1844</v>
      </c>
      <c r="L35" s="13">
        <f t="shared" si="1"/>
        <v>2.6409724999999988</v>
      </c>
      <c r="M35" s="14">
        <f t="shared" si="1"/>
        <v>92.037891624999986</v>
      </c>
      <c r="N35" s="13">
        <f t="shared" si="1"/>
        <v>3.3544389999999993</v>
      </c>
      <c r="O35" s="14">
        <f t="shared" si="1"/>
        <v>206.79859658000009</v>
      </c>
      <c r="P35" s="14">
        <f t="shared" si="1"/>
        <v>7319.5080518277246</v>
      </c>
    </row>
    <row r="37" spans="1:16" ht="16" x14ac:dyDescent="0.2">
      <c r="A37" s="1" t="s">
        <v>42</v>
      </c>
    </row>
    <row r="38" spans="1:16" ht="32" x14ac:dyDescent="0.2">
      <c r="A38" s="2" t="s">
        <v>3</v>
      </c>
      <c r="B38" s="2" t="s">
        <v>43</v>
      </c>
      <c r="C38" s="2" t="s">
        <v>44</v>
      </c>
      <c r="D38" s="2" t="s">
        <v>45</v>
      </c>
    </row>
    <row r="39" spans="1:16" x14ac:dyDescent="0.2">
      <c r="A39" s="3" t="s">
        <v>7</v>
      </c>
      <c r="B39" s="13">
        <f>SUM(C30:C34)</f>
        <v>0.45693900000000004</v>
      </c>
      <c r="C39" s="12">
        <f>SUM(D30:D34)</f>
        <v>38.894647680000006</v>
      </c>
      <c r="D39" s="12">
        <f>C39*$D$6</f>
        <v>1691.0716382608698</v>
      </c>
    </row>
    <row r="40" spans="1:16" x14ac:dyDescent="0.2">
      <c r="A40" s="3" t="s">
        <v>8</v>
      </c>
      <c r="B40" s="13">
        <f>SUM(F30:F34)</f>
        <v>-11.553014000000001</v>
      </c>
      <c r="C40" s="12">
        <f>SUM(G30:G34)</f>
        <v>-145.79903668000006</v>
      </c>
      <c r="D40" s="12">
        <f>C40*$D$7</f>
        <v>-2462.8215655405415</v>
      </c>
    </row>
    <row r="41" spans="1:16" x14ac:dyDescent="0.2">
      <c r="A41" s="3" t="s">
        <v>9</v>
      </c>
      <c r="B41" s="13">
        <f>SUM(I30:I34)</f>
        <v>11.809541500000005</v>
      </c>
      <c r="C41" s="12">
        <f>SUM(J30:J34)</f>
        <v>221.66509395499997</v>
      </c>
      <c r="D41" s="12">
        <f>C41*$D$8</f>
        <v>5713.0178854381438</v>
      </c>
    </row>
    <row r="42" spans="1:16" x14ac:dyDescent="0.2">
      <c r="A42" s="3" t="s">
        <v>10</v>
      </c>
      <c r="B42" s="13">
        <f>SUM(L30:L34)</f>
        <v>2.6409724999999988</v>
      </c>
      <c r="C42" s="12">
        <f>SUM(M30:M34)</f>
        <v>92.037891624999986</v>
      </c>
      <c r="D42" s="12">
        <f>C42*$D$9</f>
        <v>2378.2400936692502</v>
      </c>
    </row>
    <row r="43" spans="1:16" x14ac:dyDescent="0.2">
      <c r="A43" s="10" t="s">
        <v>46</v>
      </c>
      <c r="B43" s="13">
        <f>SUM(B39:B42)</f>
        <v>3.3544390000000033</v>
      </c>
      <c r="C43" s="14">
        <f>SUM(C39:C42)</f>
        <v>206.79859657999992</v>
      </c>
      <c r="D43" s="14">
        <f>SUM(D39:D42)</f>
        <v>7319.5080518277227</v>
      </c>
    </row>
    <row r="45" spans="1:16" ht="16" x14ac:dyDescent="0.2">
      <c r="A45" s="1" t="s">
        <v>47</v>
      </c>
    </row>
    <row r="46" spans="1:16" x14ac:dyDescent="0.2">
      <c r="A46" s="16" t="s">
        <v>48</v>
      </c>
      <c r="B46" s="17"/>
      <c r="C46" s="17"/>
      <c r="D46" s="17"/>
      <c r="E46" s="17"/>
      <c r="F46" s="17"/>
      <c r="G46" s="17"/>
      <c r="H46" s="17"/>
      <c r="I46" s="17"/>
      <c r="J46" s="17"/>
    </row>
    <row r="47" spans="1:16" x14ac:dyDescent="0.2">
      <c r="A47" s="16" t="s">
        <v>49</v>
      </c>
      <c r="B47" s="17"/>
      <c r="C47" s="17"/>
      <c r="D47" s="17"/>
      <c r="E47" s="17"/>
      <c r="F47" s="17"/>
      <c r="G47" s="17"/>
      <c r="H47" s="17"/>
      <c r="I47" s="17"/>
      <c r="J47" s="17"/>
    </row>
    <row r="48" spans="1:16" x14ac:dyDescent="0.2">
      <c r="A48" s="16" t="s">
        <v>50</v>
      </c>
      <c r="B48" s="17"/>
      <c r="C48" s="17"/>
      <c r="D48" s="17"/>
      <c r="E48" s="17"/>
      <c r="F48" s="17"/>
      <c r="G48" s="17"/>
      <c r="H48" s="17"/>
      <c r="I48" s="17"/>
      <c r="J48" s="17"/>
    </row>
    <row r="49" spans="1:10" x14ac:dyDescent="0.2">
      <c r="A49" s="16" t="s">
        <v>51</v>
      </c>
      <c r="B49" s="17"/>
      <c r="C49" s="17"/>
      <c r="D49" s="17"/>
      <c r="E49" s="17"/>
      <c r="F49" s="17"/>
      <c r="G49" s="17"/>
      <c r="H49" s="17"/>
      <c r="I49" s="17"/>
      <c r="J49" s="17"/>
    </row>
    <row r="50" spans="1:10" x14ac:dyDescent="0.2">
      <c r="A50" s="16" t="s">
        <v>52</v>
      </c>
      <c r="B50" s="17"/>
      <c r="C50" s="17"/>
      <c r="D50" s="17"/>
      <c r="E50" s="17"/>
      <c r="F50" s="17"/>
      <c r="G50" s="17"/>
      <c r="H50" s="17"/>
      <c r="I50" s="17"/>
      <c r="J50" s="17"/>
    </row>
    <row r="51" spans="1:10" x14ac:dyDescent="0.2">
      <c r="A51" s="16" t="s">
        <v>53</v>
      </c>
      <c r="B51" s="17"/>
      <c r="C51" s="17"/>
      <c r="D51" s="17"/>
      <c r="E51" s="17"/>
      <c r="F51" s="17"/>
      <c r="G51" s="17"/>
      <c r="H51" s="17"/>
      <c r="I51" s="17"/>
      <c r="J51" s="17"/>
    </row>
    <row r="52" spans="1:10" x14ac:dyDescent="0.2">
      <c r="A52" s="16" t="s">
        <v>54</v>
      </c>
      <c r="B52" s="17"/>
      <c r="C52" s="17"/>
      <c r="D52" s="17"/>
      <c r="E52" s="17"/>
      <c r="F52" s="17"/>
      <c r="G52" s="17"/>
      <c r="H52" s="17"/>
      <c r="I52" s="17"/>
      <c r="J52" s="17"/>
    </row>
    <row r="53" spans="1:10" x14ac:dyDescent="0.2">
      <c r="A53" s="16" t="s">
        <v>55</v>
      </c>
      <c r="B53" s="17"/>
      <c r="C53" s="17"/>
      <c r="D53" s="17"/>
      <c r="E53" s="17"/>
      <c r="F53" s="17"/>
      <c r="G53" s="17"/>
      <c r="H53" s="17"/>
      <c r="I53" s="17"/>
      <c r="J53" s="17"/>
    </row>
  </sheetData>
  <mergeCells count="10">
    <mergeCell ref="A47:J47"/>
    <mergeCell ref="A1:J1"/>
    <mergeCell ref="A46:J46"/>
    <mergeCell ref="A53:J53"/>
    <mergeCell ref="A50:J50"/>
    <mergeCell ref="A48:J48"/>
    <mergeCell ref="A51:J51"/>
    <mergeCell ref="A2:J2"/>
    <mergeCell ref="A52:J52"/>
    <mergeCell ref="A49:J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Retention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Devon Bennett</cp:lastModifiedBy>
  <dcterms:created xsi:type="dcterms:W3CDTF">2026-03-25T12:05:34Z</dcterms:created>
  <dcterms:modified xsi:type="dcterms:W3CDTF">2026-03-25T12:12:01Z</dcterms:modified>
</cp:coreProperties>
</file>