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/PycharmProjects/d7dev/analysis/enterprise/tasks/2026-05-05-catalog-genre-breakdown/"/>
    </mc:Choice>
  </mc:AlternateContent>
  <xr:revisionPtr revIDLastSave="0" documentId="8_{2345A75A-D8CC-BA47-8367-C3D047595803}" xr6:coauthVersionLast="47" xr6:coauthVersionMax="47" xr10:uidLastSave="{00000000-0000-0000-0000-000000000000}"/>
  <bookViews>
    <workbookView xWindow="3580" yWindow="2280" windowWidth="28040" windowHeight="17440" xr2:uid="{241685D8-F6DA-1A44-AAA0-B3EBC8A79D53}"/>
  </bookViews>
  <sheets>
    <sheet name="q02_genre_x_vocal" sheetId="3" r:id="rId1"/>
    <sheet name="q01_genre_breakdown" sheetId="2" r:id="rId2"/>
  </sheets>
  <definedNames>
    <definedName name="ExternalData_1" localSheetId="1" hidden="1">q01_genre_breakdown!$A$1:$C$56</definedName>
    <definedName name="ExternalData_2" localSheetId="0" hidden="1">q02_genre_x_vocal!$A$1:$H$56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3EF284-D8DE-554D-A714-B61F1AD1BDDF}" keepAlive="1" name="Query - q01_genre_breakdown" description="Connection to the 'q01_genre_breakdown' query in the workbook." type="5" refreshedVersion="8" background="1" saveData="1">
    <dbPr connection="Provider=Microsoft.Mashup.OleDb.1;Data Source=$Workbook$;Location=q01_genre_breakdown;Extended Properties=&quot;&quot;" command="SELECT * FROM [q01_genre_breakdown]"/>
  </connection>
  <connection id="2" xr16:uid="{9C1C7B16-DA40-BA44-A252-210835EB4A03}" keepAlive="1" name="Query - q02_genre_x_vocal" description="Connection to the 'q02_genre_x_vocal' query in the workbook." type="5" refreshedVersion="8" background="1" saveData="1">
    <dbPr connection="Provider=Microsoft.Mashup.OleDb.1;Data Source=$Workbook$;Location=q02_genre_x_vocal;Extended Properties=&quot;&quot;" command="SELECT * FROM [q02_genre_x_vocal]"/>
  </connection>
</connections>
</file>

<file path=xl/sharedStrings.xml><?xml version="1.0" encoding="utf-8"?>
<sst xmlns="http://schemas.openxmlformats.org/spreadsheetml/2006/main" count="121" uniqueCount="65">
  <si>
    <t>primary_genre</t>
  </si>
  <si>
    <t>song_count</t>
  </si>
  <si>
    <t>pct_of_catalog</t>
  </si>
  <si>
    <t>Electronic</t>
  </si>
  <si>
    <t>Hip Hop</t>
  </si>
  <si>
    <t>Soundtrack / Cinematic</t>
  </si>
  <si>
    <t>Acoustic</t>
  </si>
  <si>
    <t>Rock</t>
  </si>
  <si>
    <t>Indie</t>
  </si>
  <si>
    <t>Pop</t>
  </si>
  <si>
    <t>Corporate / Jingle</t>
  </si>
  <si>
    <t>EDM</t>
  </si>
  <si>
    <t>Ambient</t>
  </si>
  <si>
    <t>Classical</t>
  </si>
  <si>
    <t>R&amp;B</t>
  </si>
  <si>
    <t>Underscore</t>
  </si>
  <si>
    <t>Cinematic</t>
  </si>
  <si>
    <t>World</t>
  </si>
  <si>
    <t>Score</t>
  </si>
  <si>
    <t>Jazz</t>
  </si>
  <si>
    <t>Lo-Fi</t>
  </si>
  <si>
    <t>Country</t>
  </si>
  <si>
    <t>Funk</t>
  </si>
  <si>
    <t>Modern Orchestral</t>
  </si>
  <si>
    <t>Orchestral</t>
  </si>
  <si>
    <t>Corporate</t>
  </si>
  <si>
    <t>Ballad</t>
  </si>
  <si>
    <t>Latin</t>
  </si>
  <si>
    <t>Synthwave</t>
  </si>
  <si>
    <t>Rap</t>
  </si>
  <si>
    <t>Experimental</t>
  </si>
  <si>
    <t>Folk</t>
  </si>
  <si>
    <t>Blues</t>
  </si>
  <si>
    <t>Southern Rock</t>
  </si>
  <si>
    <t>Holiday</t>
  </si>
  <si>
    <t>Dub Step</t>
  </si>
  <si>
    <t>Metal</t>
  </si>
  <si>
    <t>Soundscape</t>
  </si>
  <si>
    <t>Gospel</t>
  </si>
  <si>
    <t>East Asian</t>
  </si>
  <si>
    <t>8-Bit</t>
  </si>
  <si>
    <t>Classic Rock</t>
  </si>
  <si>
    <t>Middle East</t>
  </si>
  <si>
    <t>Drum &amp; Bass</t>
  </si>
  <si>
    <t>Tribal</t>
  </si>
  <si>
    <t>Reggae</t>
  </si>
  <si>
    <t>Celtic</t>
  </si>
  <si>
    <t>Punk</t>
  </si>
  <si>
    <t>Traditional Country</t>
  </si>
  <si>
    <t>Big Band</t>
  </si>
  <si>
    <t>Bollywood</t>
  </si>
  <si>
    <t>Western</t>
  </si>
  <si>
    <t>Surf Rock</t>
  </si>
  <si>
    <t>African</t>
  </si>
  <si>
    <t>Bluegrass</t>
  </si>
  <si>
    <t>Caribbean</t>
  </si>
  <si>
    <t>New Orleans / Dixieland</t>
  </si>
  <si>
    <t>TOTAL</t>
  </si>
  <si>
    <t>instrumental_count</t>
  </si>
  <si>
    <t>background_vocal_count</t>
  </si>
  <si>
    <t>full_vocal_count</t>
  </si>
  <si>
    <t>total</t>
  </si>
  <si>
    <t>instrumental_pct</t>
  </si>
  <si>
    <t>background_vocal_pct</t>
  </si>
  <si>
    <t>full_vocal_pct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</si>
</sst>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36C29AB-5904-C245-BFA1-6E0BA852A5CD}" autoFormatId="16" applyNumberFormats="0" applyBorderFormats="0" applyFontFormats="0" applyPatternFormats="0" applyAlignmentFormats="0" applyWidthHeightFormats="0">
  <queryTableRefresh nextId="10">
    <queryTableFields count="8">
      <queryTableField id="1" name="primary_genre" tableColumnId="1"/>
      <queryTableField id="2" name="instrumental_count" tableColumnId="2"/>
      <queryTableField id="7" dataBound="0" tableColumnId="7"/>
      <queryTableField id="3" name="background_vocal_count" tableColumnId="3"/>
      <queryTableField id="8" dataBound="0" tableColumnId="8"/>
      <queryTableField id="4" name="full_vocal_count" tableColumnId="4"/>
      <queryTableField id="9" dataBound="0" tableColumnId="9"/>
      <queryTableField id="6" name="total" tableColumnId="6"/>
    </queryTableFields>
    <queryTableDeletedFields count="1">
      <deletedField name="vd_null_count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4B1324-D86A-7A42-91D8-519899E85321}" autoFormatId="16" applyNumberFormats="0" applyBorderFormats="0" applyFontFormats="0" applyPatternFormats="0" applyAlignmentFormats="0" applyWidthHeightFormats="0">
  <queryTableRefresh nextId="4">
    <queryTableFields count="3">
      <queryTableField id="1" name="primary_genre" tableColumnId="1"/>
      <queryTableField id="2" name="song_count" tableColumnId="2"/>
      <queryTableField id="3" name="pct_of_catalog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E66563-3FE3-A448-A23E-BD51A792C27F}" name="q02_genre_x_vocal" displayName="q02_genre_x_vocal" ref="A1:H56" tableType="queryTable" totalsRowShown="0">
  <autoFilter ref="A1:H56" xr:uid="{8BE66563-3FE3-A448-A23E-BD51A792C27F}"/>
  <tableColumns count="8">
    <tableColumn id="1" xr3:uid="{5995EC5D-DA02-6849-9264-2BAAC5933727}" uniqueName="1" name="primary_genre" queryTableFieldId="1" dataDxfId="0"/>
    <tableColumn id="2" xr3:uid="{4EEBCEE6-2077-EA46-B8BD-A474BF290DC8}" uniqueName="2" name="instrumental_count" queryTableFieldId="2"/>
    <tableColumn id="7" xr3:uid="{E9359450-7515-EE4F-AB85-1A5028F1FB5D}" uniqueName="7" name="instrumental_pct" queryTableFieldId="7" dataCellStyle="Percent">
      <calculatedColumnFormula>q02_genre_x_vocal[[#This Row],[instrumental_count]]/$H$56</calculatedColumnFormula>
    </tableColumn>
    <tableColumn id="3" xr3:uid="{8D0D2980-C2FA-8247-926D-1AA5B5B42EC6}" uniqueName="3" name="background_vocal_count" queryTableFieldId="3"/>
    <tableColumn id="8" xr3:uid="{6CF9890D-05E7-0A4A-917E-58182F79983F}" uniqueName="8" name="background_vocal_pct" queryTableFieldId="8" dataCellStyle="Percent">
      <calculatedColumnFormula>q02_genre_x_vocal[[#This Row],[background_vocal_count]]/$H$56</calculatedColumnFormula>
    </tableColumn>
    <tableColumn id="4" xr3:uid="{36FC370A-28E0-C748-8027-7480AD5C522F}" uniqueName="4" name="full_vocal_count" queryTableFieldId="4"/>
    <tableColumn id="9" xr3:uid="{ABF96777-B085-B24E-B0CC-313A63FB42DB}" uniqueName="9" name="full_vocal_pct" queryTableFieldId="9" dataCellStyle="Percent">
      <calculatedColumnFormula>q02_genre_x_vocal[[#This Row],[full_vocal_count]]/$H$56</calculatedColumnFormula>
    </tableColumn>
    <tableColumn id="6" xr3:uid="{28F82CFC-31F9-1740-9553-1BC8E1A96CF2}" uniqueName="6" name="total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387654-5387-A648-96EB-62C5EEB4C180}" name="q01_genre_breakdown" displayName="q01_genre_breakdown" ref="A1:C56" tableType="queryTable" totalsRowShown="0">
  <autoFilter ref="A1:C56" xr:uid="{00387654-5387-A648-96EB-62C5EEB4C180}"/>
  <tableColumns count="3">
    <tableColumn id="1" xr3:uid="{686667D4-F20A-CC46-9454-B891D000BE72}" uniqueName="1" name="primary_genre" queryTableFieldId="1" dataDxfId="1"/>
    <tableColumn id="2" xr3:uid="{4E342830-F6FC-304D-9F2E-0C8697CEE4B4}" uniqueName="2" name="song_count" queryTableFieldId="2"/>
    <tableColumn id="3" xr3:uid="{6DB2EEB9-FE13-5B43-9DCF-2779EAE0CF57}" uniqueName="3" name="pct_of_catalog" queryTableFieldId="3" dataCellStyle="Perce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08A3D-9532-A54C-84F4-68E12573C122}">
  <dimension ref="A1:H56"/>
  <sheetViews>
    <sheetView tabSelected="1" workbookViewId="0">
      <selection activeCell="A2" sqref="A2"/>
    </sheetView>
  </sheetViews>
  <sheetFormatPr baseColWidth="10" defaultRowHeight="16" x14ac:dyDescent="0.2"/>
  <cols>
    <col min="1" max="1" width="20.6640625" bestFit="1" customWidth="1"/>
    <col min="2" max="2" width="20" bestFit="1" customWidth="1"/>
    <col min="3" max="3" width="20" style="2" customWidth="1"/>
    <col min="4" max="4" width="24.33203125" bestFit="1" customWidth="1"/>
    <col min="5" max="5" width="24.33203125" style="2" customWidth="1"/>
    <col min="6" max="6" width="17" bestFit="1" customWidth="1"/>
    <col min="7" max="7" width="17" style="2" customWidth="1"/>
    <col min="8" max="8" width="7.5" bestFit="1" customWidth="1"/>
  </cols>
  <sheetData>
    <row r="1" spans="1:8" x14ac:dyDescent="0.2">
      <c r="A1" t="s">
        <v>0</v>
      </c>
      <c r="B1" t="s">
        <v>58</v>
      </c>
      <c r="C1" t="s">
        <v>62</v>
      </c>
      <c r="D1" t="s">
        <v>59</v>
      </c>
      <c r="E1" s="2" t="s">
        <v>63</v>
      </c>
      <c r="F1" t="s">
        <v>60</v>
      </c>
      <c r="G1" s="2" t="s">
        <v>64</v>
      </c>
      <c r="H1" t="s">
        <v>61</v>
      </c>
    </row>
    <row r="2" spans="1:8" x14ac:dyDescent="0.2">
      <c r="A2" s="1" t="s">
        <v>3</v>
      </c>
      <c r="B2">
        <v>729</v>
      </c>
      <c r="C2" s="2">
        <f>q02_genre_x_vocal[[#This Row],[instrumental_count]]/$H$56</f>
        <v>6.4399293286219086E-2</v>
      </c>
      <c r="D2">
        <v>424</v>
      </c>
      <c r="E2" s="2">
        <f>q02_genre_x_vocal[[#This Row],[background_vocal_count]]/$H$56</f>
        <v>3.7455830388692581E-2</v>
      </c>
      <c r="F2">
        <v>56</v>
      </c>
      <c r="G2" s="2">
        <f>q02_genre_x_vocal[[#This Row],[full_vocal_count]]/$H$56</f>
        <v>4.9469964664310955E-3</v>
      </c>
      <c r="H2">
        <v>1209</v>
      </c>
    </row>
    <row r="3" spans="1:8" x14ac:dyDescent="0.2">
      <c r="A3" s="1" t="s">
        <v>4</v>
      </c>
      <c r="B3">
        <v>717</v>
      </c>
      <c r="C3" s="2">
        <f>q02_genre_x_vocal[[#This Row],[instrumental_count]]/$H$56</f>
        <v>6.3339222614840984E-2</v>
      </c>
      <c r="D3">
        <v>343</v>
      </c>
      <c r="E3" s="2">
        <f>q02_genre_x_vocal[[#This Row],[background_vocal_count]]/$H$56</f>
        <v>3.030035335689046E-2</v>
      </c>
      <c r="F3">
        <v>58</v>
      </c>
      <c r="G3" s="2">
        <f>q02_genre_x_vocal[[#This Row],[full_vocal_count]]/$H$56</f>
        <v>5.1236749116607772E-3</v>
      </c>
      <c r="H3">
        <v>1118</v>
      </c>
    </row>
    <row r="4" spans="1:8" x14ac:dyDescent="0.2">
      <c r="A4" s="1" t="s">
        <v>5</v>
      </c>
      <c r="B4">
        <v>705</v>
      </c>
      <c r="C4" s="2">
        <f>q02_genre_x_vocal[[#This Row],[instrumental_count]]/$H$56</f>
        <v>6.2279151943462896E-2</v>
      </c>
      <c r="D4">
        <v>101</v>
      </c>
      <c r="E4" s="2">
        <f>q02_genre_x_vocal[[#This Row],[background_vocal_count]]/$H$56</f>
        <v>8.9222614840989405E-3</v>
      </c>
      <c r="F4">
        <v>9</v>
      </c>
      <c r="G4" s="2">
        <f>q02_genre_x_vocal[[#This Row],[full_vocal_count]]/$H$56</f>
        <v>7.9505300353356894E-4</v>
      </c>
      <c r="H4">
        <v>815</v>
      </c>
    </row>
    <row r="5" spans="1:8" x14ac:dyDescent="0.2">
      <c r="A5" s="1" t="s">
        <v>6</v>
      </c>
      <c r="B5">
        <v>580</v>
      </c>
      <c r="C5" s="2">
        <f>q02_genre_x_vocal[[#This Row],[instrumental_count]]/$H$56</f>
        <v>5.1236749116607777E-2</v>
      </c>
      <c r="D5">
        <v>78</v>
      </c>
      <c r="E5" s="2">
        <f>q02_genre_x_vocal[[#This Row],[background_vocal_count]]/$H$56</f>
        <v>6.8904593639575974E-3</v>
      </c>
      <c r="F5">
        <v>152</v>
      </c>
      <c r="G5" s="2">
        <f>q02_genre_x_vocal[[#This Row],[full_vocal_count]]/$H$56</f>
        <v>1.342756183745583E-2</v>
      </c>
      <c r="H5">
        <v>810</v>
      </c>
    </row>
    <row r="6" spans="1:8" x14ac:dyDescent="0.2">
      <c r="A6" s="1" t="s">
        <v>7</v>
      </c>
      <c r="B6">
        <v>680</v>
      </c>
      <c r="C6" s="2">
        <f>q02_genre_x_vocal[[#This Row],[instrumental_count]]/$H$56</f>
        <v>6.0070671378091869E-2</v>
      </c>
      <c r="D6">
        <v>55</v>
      </c>
      <c r="E6" s="2">
        <f>q02_genre_x_vocal[[#This Row],[background_vocal_count]]/$H$56</f>
        <v>4.8586572438162542E-3</v>
      </c>
      <c r="F6">
        <v>40</v>
      </c>
      <c r="G6" s="2">
        <f>q02_genre_x_vocal[[#This Row],[full_vocal_count]]/$H$56</f>
        <v>3.5335689045936395E-3</v>
      </c>
      <c r="H6">
        <v>775</v>
      </c>
    </row>
    <row r="7" spans="1:8" x14ac:dyDescent="0.2">
      <c r="A7" s="1" t="s">
        <v>8</v>
      </c>
      <c r="B7">
        <v>467</v>
      </c>
      <c r="C7" s="2">
        <f>q02_genre_x_vocal[[#This Row],[instrumental_count]]/$H$56</f>
        <v>4.125441696113074E-2</v>
      </c>
      <c r="D7">
        <v>70</v>
      </c>
      <c r="E7" s="2">
        <f>q02_genre_x_vocal[[#This Row],[background_vocal_count]]/$H$56</f>
        <v>6.183745583038869E-3</v>
      </c>
      <c r="F7">
        <v>104</v>
      </c>
      <c r="G7" s="2">
        <f>q02_genre_x_vocal[[#This Row],[full_vocal_count]]/$H$56</f>
        <v>9.1872791519434626E-3</v>
      </c>
      <c r="H7">
        <v>641</v>
      </c>
    </row>
    <row r="8" spans="1:8" x14ac:dyDescent="0.2">
      <c r="A8" s="1" t="s">
        <v>9</v>
      </c>
      <c r="B8">
        <v>222</v>
      </c>
      <c r="C8" s="2">
        <f>q02_genre_x_vocal[[#This Row],[instrumental_count]]/$H$56</f>
        <v>1.96113074204947E-2</v>
      </c>
      <c r="D8">
        <v>142</v>
      </c>
      <c r="E8" s="2">
        <f>q02_genre_x_vocal[[#This Row],[background_vocal_count]]/$H$56</f>
        <v>1.254416961130742E-2</v>
      </c>
      <c r="F8">
        <v>236</v>
      </c>
      <c r="G8" s="2">
        <f>q02_genre_x_vocal[[#This Row],[full_vocal_count]]/$H$56</f>
        <v>2.0848056537102474E-2</v>
      </c>
      <c r="H8">
        <v>600</v>
      </c>
    </row>
    <row r="9" spans="1:8" x14ac:dyDescent="0.2">
      <c r="A9" s="1" t="s">
        <v>10</v>
      </c>
      <c r="B9">
        <v>477</v>
      </c>
      <c r="C9" s="2">
        <f>q02_genre_x_vocal[[#This Row],[instrumental_count]]/$H$56</f>
        <v>4.2137809187279149E-2</v>
      </c>
      <c r="D9">
        <v>63</v>
      </c>
      <c r="E9" s="2">
        <f>q02_genre_x_vocal[[#This Row],[background_vocal_count]]/$H$56</f>
        <v>5.5653710247349827E-3</v>
      </c>
      <c r="F9">
        <v>13</v>
      </c>
      <c r="G9" s="2">
        <f>q02_genre_x_vocal[[#This Row],[full_vocal_count]]/$H$56</f>
        <v>1.1484098939929328E-3</v>
      </c>
      <c r="H9">
        <v>553</v>
      </c>
    </row>
    <row r="10" spans="1:8" x14ac:dyDescent="0.2">
      <c r="A10" s="1" t="s">
        <v>11</v>
      </c>
      <c r="B10">
        <v>348</v>
      </c>
      <c r="C10" s="2">
        <f>q02_genre_x_vocal[[#This Row],[instrumental_count]]/$H$56</f>
        <v>3.0742049469964665E-2</v>
      </c>
      <c r="D10">
        <v>138</v>
      </c>
      <c r="E10" s="2">
        <f>q02_genre_x_vocal[[#This Row],[background_vocal_count]]/$H$56</f>
        <v>1.2190812720848057E-2</v>
      </c>
      <c r="F10">
        <v>28</v>
      </c>
      <c r="G10" s="2">
        <f>q02_genre_x_vocal[[#This Row],[full_vocal_count]]/$H$56</f>
        <v>2.4734982332155478E-3</v>
      </c>
      <c r="H10">
        <v>514</v>
      </c>
    </row>
    <row r="11" spans="1:8" x14ac:dyDescent="0.2">
      <c r="A11" s="1" t="s">
        <v>12</v>
      </c>
      <c r="B11">
        <v>413</v>
      </c>
      <c r="C11" s="2">
        <f>q02_genre_x_vocal[[#This Row],[instrumental_count]]/$H$56</f>
        <v>3.6484098939929328E-2</v>
      </c>
      <c r="D11">
        <v>39</v>
      </c>
      <c r="E11" s="2">
        <f>q02_genre_x_vocal[[#This Row],[background_vocal_count]]/$H$56</f>
        <v>3.4452296819787987E-3</v>
      </c>
      <c r="F11">
        <v>6</v>
      </c>
      <c r="G11" s="2">
        <f>q02_genre_x_vocal[[#This Row],[full_vocal_count]]/$H$56</f>
        <v>5.3003533568904589E-4</v>
      </c>
      <c r="H11">
        <v>458</v>
      </c>
    </row>
    <row r="12" spans="1:8" x14ac:dyDescent="0.2">
      <c r="A12" s="1" t="s">
        <v>13</v>
      </c>
      <c r="B12">
        <v>362</v>
      </c>
      <c r="C12" s="2">
        <f>q02_genre_x_vocal[[#This Row],[instrumental_count]]/$H$56</f>
        <v>3.1978798586572439E-2</v>
      </c>
      <c r="D12">
        <v>51</v>
      </c>
      <c r="E12" s="2">
        <f>q02_genre_x_vocal[[#This Row],[background_vocal_count]]/$H$56</f>
        <v>4.50530035335689E-3</v>
      </c>
      <c r="F12">
        <v>3</v>
      </c>
      <c r="G12" s="2">
        <f>q02_genre_x_vocal[[#This Row],[full_vocal_count]]/$H$56</f>
        <v>2.6501766784452294E-4</v>
      </c>
      <c r="H12">
        <v>416</v>
      </c>
    </row>
    <row r="13" spans="1:8" x14ac:dyDescent="0.2">
      <c r="A13" s="1" t="s">
        <v>14</v>
      </c>
      <c r="B13">
        <v>196</v>
      </c>
      <c r="C13" s="2">
        <f>q02_genre_x_vocal[[#This Row],[instrumental_count]]/$H$56</f>
        <v>1.7314487632508833E-2</v>
      </c>
      <c r="D13">
        <v>90</v>
      </c>
      <c r="E13" s="2">
        <f>q02_genre_x_vocal[[#This Row],[background_vocal_count]]/$H$56</f>
        <v>7.9505300353356883E-3</v>
      </c>
      <c r="F13">
        <v>35</v>
      </c>
      <c r="G13" s="2">
        <f>q02_genre_x_vocal[[#This Row],[full_vocal_count]]/$H$56</f>
        <v>3.0918727915194345E-3</v>
      </c>
      <c r="H13">
        <v>321</v>
      </c>
    </row>
    <row r="14" spans="1:8" x14ac:dyDescent="0.2">
      <c r="A14" s="1" t="s">
        <v>15</v>
      </c>
      <c r="B14">
        <v>278</v>
      </c>
      <c r="C14" s="2">
        <f>q02_genre_x_vocal[[#This Row],[instrumental_count]]/$H$56</f>
        <v>2.4558303886925797E-2</v>
      </c>
      <c r="D14">
        <v>12</v>
      </c>
      <c r="E14" s="2">
        <f>q02_genre_x_vocal[[#This Row],[background_vocal_count]]/$H$56</f>
        <v>1.0600706713780918E-3</v>
      </c>
      <c r="F14">
        <v>2</v>
      </c>
      <c r="G14" s="2">
        <f>q02_genre_x_vocal[[#This Row],[full_vocal_count]]/$H$56</f>
        <v>1.7667844522968197E-4</v>
      </c>
      <c r="H14">
        <v>292</v>
      </c>
    </row>
    <row r="15" spans="1:8" x14ac:dyDescent="0.2">
      <c r="A15" s="1" t="s">
        <v>16</v>
      </c>
      <c r="B15">
        <v>197</v>
      </c>
      <c r="C15" s="2">
        <f>q02_genre_x_vocal[[#This Row],[instrumental_count]]/$H$56</f>
        <v>1.7402826855123676E-2</v>
      </c>
      <c r="D15">
        <v>92</v>
      </c>
      <c r="E15" s="2">
        <f>q02_genre_x_vocal[[#This Row],[background_vocal_count]]/$H$56</f>
        <v>8.1272084805653708E-3</v>
      </c>
      <c r="F15">
        <v>3</v>
      </c>
      <c r="G15" s="2">
        <f>q02_genre_x_vocal[[#This Row],[full_vocal_count]]/$H$56</f>
        <v>2.6501766784452294E-4</v>
      </c>
      <c r="H15">
        <v>292</v>
      </c>
    </row>
    <row r="16" spans="1:8" x14ac:dyDescent="0.2">
      <c r="A16" s="1" t="s">
        <v>17</v>
      </c>
      <c r="B16">
        <v>213</v>
      </c>
      <c r="C16" s="2">
        <f>q02_genre_x_vocal[[#This Row],[instrumental_count]]/$H$56</f>
        <v>1.881625441696113E-2</v>
      </c>
      <c r="D16">
        <v>71</v>
      </c>
      <c r="E16" s="2">
        <f>q02_genre_x_vocal[[#This Row],[background_vocal_count]]/$H$56</f>
        <v>6.2720848056537102E-3</v>
      </c>
      <c r="F16">
        <v>6</v>
      </c>
      <c r="G16" s="2">
        <f>q02_genre_x_vocal[[#This Row],[full_vocal_count]]/$H$56</f>
        <v>5.3003533568904589E-4</v>
      </c>
      <c r="H16">
        <v>290</v>
      </c>
    </row>
    <row r="17" spans="1:8" x14ac:dyDescent="0.2">
      <c r="A17" s="1" t="s">
        <v>18</v>
      </c>
      <c r="B17">
        <v>221</v>
      </c>
      <c r="C17" s="2">
        <f>q02_genre_x_vocal[[#This Row],[instrumental_count]]/$H$56</f>
        <v>1.952296819787986E-2</v>
      </c>
      <c r="D17">
        <v>19</v>
      </c>
      <c r="E17" s="2">
        <f>q02_genre_x_vocal[[#This Row],[background_vocal_count]]/$H$56</f>
        <v>1.6784452296819787E-3</v>
      </c>
      <c r="F17">
        <v>0</v>
      </c>
      <c r="G17" s="2">
        <f>q02_genre_x_vocal[[#This Row],[full_vocal_count]]/$H$56</f>
        <v>0</v>
      </c>
      <c r="H17">
        <v>240</v>
      </c>
    </row>
    <row r="18" spans="1:8" x14ac:dyDescent="0.2">
      <c r="A18" s="1" t="s">
        <v>19</v>
      </c>
      <c r="B18">
        <v>230</v>
      </c>
      <c r="C18" s="2">
        <f>q02_genre_x_vocal[[#This Row],[instrumental_count]]/$H$56</f>
        <v>2.0318021201413426E-2</v>
      </c>
      <c r="D18">
        <v>7</v>
      </c>
      <c r="E18" s="2">
        <f>q02_genre_x_vocal[[#This Row],[background_vocal_count]]/$H$56</f>
        <v>6.1837455830388694E-4</v>
      </c>
      <c r="F18">
        <v>0</v>
      </c>
      <c r="G18" s="2">
        <f>q02_genre_x_vocal[[#This Row],[full_vocal_count]]/$H$56</f>
        <v>0</v>
      </c>
      <c r="H18">
        <v>237</v>
      </c>
    </row>
    <row r="19" spans="1:8" x14ac:dyDescent="0.2">
      <c r="A19" s="1" t="s">
        <v>20</v>
      </c>
      <c r="B19">
        <v>176</v>
      </c>
      <c r="C19" s="2">
        <f>q02_genre_x_vocal[[#This Row],[instrumental_count]]/$H$56</f>
        <v>1.5547703180212015E-2</v>
      </c>
      <c r="D19">
        <v>25</v>
      </c>
      <c r="E19" s="2">
        <f>q02_genre_x_vocal[[#This Row],[background_vocal_count]]/$H$56</f>
        <v>2.2084805653710248E-3</v>
      </c>
      <c r="F19">
        <v>5</v>
      </c>
      <c r="G19" s="2">
        <f>q02_genre_x_vocal[[#This Row],[full_vocal_count]]/$H$56</f>
        <v>4.4169611307420494E-4</v>
      </c>
      <c r="H19">
        <v>206</v>
      </c>
    </row>
    <row r="20" spans="1:8" x14ac:dyDescent="0.2">
      <c r="A20" s="1" t="s">
        <v>21</v>
      </c>
      <c r="B20">
        <v>162</v>
      </c>
      <c r="C20" s="2">
        <f>q02_genre_x_vocal[[#This Row],[instrumental_count]]/$H$56</f>
        <v>1.4310954063604241E-2</v>
      </c>
      <c r="D20">
        <v>11</v>
      </c>
      <c r="E20" s="2">
        <f>q02_genre_x_vocal[[#This Row],[background_vocal_count]]/$H$56</f>
        <v>9.7173144876325094E-4</v>
      </c>
      <c r="F20">
        <v>20</v>
      </c>
      <c r="G20" s="2">
        <f>q02_genre_x_vocal[[#This Row],[full_vocal_count]]/$H$56</f>
        <v>1.7667844522968198E-3</v>
      </c>
      <c r="H20">
        <v>193</v>
      </c>
    </row>
    <row r="21" spans="1:8" x14ac:dyDescent="0.2">
      <c r="A21" s="1" t="s">
        <v>22</v>
      </c>
      <c r="B21">
        <v>116</v>
      </c>
      <c r="C21" s="2">
        <f>q02_genre_x_vocal[[#This Row],[instrumental_count]]/$H$56</f>
        <v>1.0247349823321554E-2</v>
      </c>
      <c r="D21">
        <v>30</v>
      </c>
      <c r="E21" s="2">
        <f>q02_genre_x_vocal[[#This Row],[background_vocal_count]]/$H$56</f>
        <v>2.6501766784452299E-3</v>
      </c>
      <c r="F21">
        <v>3</v>
      </c>
      <c r="G21" s="2">
        <f>q02_genre_x_vocal[[#This Row],[full_vocal_count]]/$H$56</f>
        <v>2.6501766784452294E-4</v>
      </c>
      <c r="H21">
        <v>149</v>
      </c>
    </row>
    <row r="22" spans="1:8" x14ac:dyDescent="0.2">
      <c r="A22" s="1" t="s">
        <v>23</v>
      </c>
      <c r="B22">
        <v>100</v>
      </c>
      <c r="C22" s="2">
        <f>q02_genre_x_vocal[[#This Row],[instrumental_count]]/$H$56</f>
        <v>8.8339222614840993E-3</v>
      </c>
      <c r="D22">
        <v>25</v>
      </c>
      <c r="E22" s="2">
        <f>q02_genre_x_vocal[[#This Row],[background_vocal_count]]/$H$56</f>
        <v>2.2084805653710248E-3</v>
      </c>
      <c r="F22">
        <v>0</v>
      </c>
      <c r="G22" s="2">
        <f>q02_genre_x_vocal[[#This Row],[full_vocal_count]]/$H$56</f>
        <v>0</v>
      </c>
      <c r="H22">
        <v>125</v>
      </c>
    </row>
    <row r="23" spans="1:8" x14ac:dyDescent="0.2">
      <c r="A23" s="1" t="s">
        <v>24</v>
      </c>
      <c r="B23">
        <v>114</v>
      </c>
      <c r="C23" s="2">
        <f>q02_genre_x_vocal[[#This Row],[instrumental_count]]/$H$56</f>
        <v>1.0070671378091874E-2</v>
      </c>
      <c r="D23">
        <v>7</v>
      </c>
      <c r="E23" s="2">
        <f>q02_genre_x_vocal[[#This Row],[background_vocal_count]]/$H$56</f>
        <v>6.1837455830388694E-4</v>
      </c>
      <c r="F23">
        <v>0</v>
      </c>
      <c r="G23" s="2">
        <f>q02_genre_x_vocal[[#This Row],[full_vocal_count]]/$H$56</f>
        <v>0</v>
      </c>
      <c r="H23">
        <v>121</v>
      </c>
    </row>
    <row r="24" spans="1:8" x14ac:dyDescent="0.2">
      <c r="A24" s="1" t="s">
        <v>25</v>
      </c>
      <c r="B24">
        <v>51</v>
      </c>
      <c r="C24" s="2">
        <f>q02_genre_x_vocal[[#This Row],[instrumental_count]]/$H$56</f>
        <v>4.50530035335689E-3</v>
      </c>
      <c r="D24">
        <v>57</v>
      </c>
      <c r="E24" s="2">
        <f>q02_genre_x_vocal[[#This Row],[background_vocal_count]]/$H$56</f>
        <v>5.0353356890459368E-3</v>
      </c>
      <c r="F24">
        <v>4</v>
      </c>
      <c r="G24" s="2">
        <f>q02_genre_x_vocal[[#This Row],[full_vocal_count]]/$H$56</f>
        <v>3.5335689045936394E-4</v>
      </c>
      <c r="H24">
        <v>112</v>
      </c>
    </row>
    <row r="25" spans="1:8" x14ac:dyDescent="0.2">
      <c r="A25" s="1" t="s">
        <v>26</v>
      </c>
      <c r="B25">
        <v>33</v>
      </c>
      <c r="C25" s="2">
        <f>q02_genre_x_vocal[[#This Row],[instrumental_count]]/$H$56</f>
        <v>2.9151943462897528E-3</v>
      </c>
      <c r="D25">
        <v>6</v>
      </c>
      <c r="E25" s="2">
        <f>q02_genre_x_vocal[[#This Row],[background_vocal_count]]/$H$56</f>
        <v>5.3003533568904589E-4</v>
      </c>
      <c r="F25">
        <v>52</v>
      </c>
      <c r="G25" s="2">
        <f>q02_genre_x_vocal[[#This Row],[full_vocal_count]]/$H$56</f>
        <v>4.5936395759717313E-3</v>
      </c>
      <c r="H25">
        <v>91</v>
      </c>
    </row>
    <row r="26" spans="1:8" x14ac:dyDescent="0.2">
      <c r="A26" s="1" t="s">
        <v>27</v>
      </c>
      <c r="B26">
        <v>65</v>
      </c>
      <c r="C26" s="2">
        <f>q02_genre_x_vocal[[#This Row],[instrumental_count]]/$H$56</f>
        <v>5.7420494699646643E-3</v>
      </c>
      <c r="D26">
        <v>12</v>
      </c>
      <c r="E26" s="2">
        <f>q02_genre_x_vocal[[#This Row],[background_vocal_count]]/$H$56</f>
        <v>1.0600706713780918E-3</v>
      </c>
      <c r="F26">
        <v>2</v>
      </c>
      <c r="G26" s="2">
        <f>q02_genre_x_vocal[[#This Row],[full_vocal_count]]/$H$56</f>
        <v>1.7667844522968197E-4</v>
      </c>
      <c r="H26">
        <v>79</v>
      </c>
    </row>
    <row r="27" spans="1:8" x14ac:dyDescent="0.2">
      <c r="A27" s="1" t="s">
        <v>28</v>
      </c>
      <c r="B27">
        <v>66</v>
      </c>
      <c r="C27" s="2">
        <f>q02_genre_x_vocal[[#This Row],[instrumental_count]]/$H$56</f>
        <v>5.8303886925795056E-3</v>
      </c>
      <c r="D27">
        <v>5</v>
      </c>
      <c r="E27" s="2">
        <f>q02_genre_x_vocal[[#This Row],[background_vocal_count]]/$H$56</f>
        <v>4.4169611307420494E-4</v>
      </c>
      <c r="F27">
        <v>4</v>
      </c>
      <c r="G27" s="2">
        <f>q02_genre_x_vocal[[#This Row],[full_vocal_count]]/$H$56</f>
        <v>3.5335689045936394E-4</v>
      </c>
      <c r="H27">
        <v>75</v>
      </c>
    </row>
    <row r="28" spans="1:8" x14ac:dyDescent="0.2">
      <c r="A28" s="1" t="s">
        <v>29</v>
      </c>
      <c r="B28">
        <v>22</v>
      </c>
      <c r="C28" s="2">
        <f>q02_genre_x_vocal[[#This Row],[instrumental_count]]/$H$56</f>
        <v>1.9434628975265019E-3</v>
      </c>
      <c r="D28">
        <v>2</v>
      </c>
      <c r="E28" s="2">
        <f>q02_genre_x_vocal[[#This Row],[background_vocal_count]]/$H$56</f>
        <v>1.7667844522968197E-4</v>
      </c>
      <c r="F28">
        <v>42</v>
      </c>
      <c r="G28" s="2">
        <f>q02_genre_x_vocal[[#This Row],[full_vocal_count]]/$H$56</f>
        <v>3.7102473498233216E-3</v>
      </c>
      <c r="H28">
        <v>66</v>
      </c>
    </row>
    <row r="29" spans="1:8" x14ac:dyDescent="0.2">
      <c r="A29" s="1" t="s">
        <v>30</v>
      </c>
      <c r="B29">
        <v>40</v>
      </c>
      <c r="C29" s="2">
        <f>q02_genre_x_vocal[[#This Row],[instrumental_count]]/$H$56</f>
        <v>3.5335689045936395E-3</v>
      </c>
      <c r="D29">
        <v>19</v>
      </c>
      <c r="E29" s="2">
        <f>q02_genre_x_vocal[[#This Row],[background_vocal_count]]/$H$56</f>
        <v>1.6784452296819787E-3</v>
      </c>
      <c r="F29">
        <v>2</v>
      </c>
      <c r="G29" s="2">
        <f>q02_genre_x_vocal[[#This Row],[full_vocal_count]]/$H$56</f>
        <v>1.7667844522968197E-4</v>
      </c>
      <c r="H29">
        <v>61</v>
      </c>
    </row>
    <row r="30" spans="1:8" x14ac:dyDescent="0.2">
      <c r="A30" s="1" t="s">
        <v>31</v>
      </c>
      <c r="B30">
        <v>29</v>
      </c>
      <c r="C30" s="2">
        <f>q02_genre_x_vocal[[#This Row],[instrumental_count]]/$H$56</f>
        <v>2.5618374558303886E-3</v>
      </c>
      <c r="D30">
        <v>7</v>
      </c>
      <c r="E30" s="2">
        <f>q02_genre_x_vocal[[#This Row],[background_vocal_count]]/$H$56</f>
        <v>6.1837455830388694E-4</v>
      </c>
      <c r="F30">
        <v>8</v>
      </c>
      <c r="G30" s="2">
        <f>q02_genre_x_vocal[[#This Row],[full_vocal_count]]/$H$56</f>
        <v>7.0671378091872788E-4</v>
      </c>
      <c r="H30">
        <v>44</v>
      </c>
    </row>
    <row r="31" spans="1:8" x14ac:dyDescent="0.2">
      <c r="A31" s="1" t="s">
        <v>32</v>
      </c>
      <c r="B31">
        <v>40</v>
      </c>
      <c r="C31" s="2">
        <f>q02_genre_x_vocal[[#This Row],[instrumental_count]]/$H$56</f>
        <v>3.5335689045936395E-3</v>
      </c>
      <c r="D31">
        <v>2</v>
      </c>
      <c r="E31" s="2">
        <f>q02_genre_x_vocal[[#This Row],[background_vocal_count]]/$H$56</f>
        <v>1.7667844522968197E-4</v>
      </c>
      <c r="F31">
        <v>0</v>
      </c>
      <c r="G31" s="2">
        <f>q02_genre_x_vocal[[#This Row],[full_vocal_count]]/$H$56</f>
        <v>0</v>
      </c>
      <c r="H31">
        <v>42</v>
      </c>
    </row>
    <row r="32" spans="1:8" x14ac:dyDescent="0.2">
      <c r="A32" s="1" t="s">
        <v>33</v>
      </c>
      <c r="B32">
        <v>35</v>
      </c>
      <c r="C32" s="2">
        <f>q02_genre_x_vocal[[#This Row],[instrumental_count]]/$H$56</f>
        <v>3.0918727915194345E-3</v>
      </c>
      <c r="D32">
        <v>5</v>
      </c>
      <c r="E32" s="2">
        <f>q02_genre_x_vocal[[#This Row],[background_vocal_count]]/$H$56</f>
        <v>4.4169611307420494E-4</v>
      </c>
      <c r="F32">
        <v>1</v>
      </c>
      <c r="G32" s="2">
        <f>q02_genre_x_vocal[[#This Row],[full_vocal_count]]/$H$56</f>
        <v>8.8339222614840986E-5</v>
      </c>
      <c r="H32">
        <v>41</v>
      </c>
    </row>
    <row r="33" spans="1:8" x14ac:dyDescent="0.2">
      <c r="A33" s="1" t="s">
        <v>34</v>
      </c>
      <c r="B33">
        <v>28</v>
      </c>
      <c r="C33" s="2">
        <f>q02_genre_x_vocal[[#This Row],[instrumental_count]]/$H$56</f>
        <v>2.4734982332155478E-3</v>
      </c>
      <c r="D33">
        <v>8</v>
      </c>
      <c r="E33" s="2">
        <f>q02_genre_x_vocal[[#This Row],[background_vocal_count]]/$H$56</f>
        <v>7.0671378091872788E-4</v>
      </c>
      <c r="F33">
        <v>0</v>
      </c>
      <c r="G33" s="2">
        <f>q02_genre_x_vocal[[#This Row],[full_vocal_count]]/$H$56</f>
        <v>0</v>
      </c>
      <c r="H33">
        <v>36</v>
      </c>
    </row>
    <row r="34" spans="1:8" x14ac:dyDescent="0.2">
      <c r="A34" s="1" t="s">
        <v>35</v>
      </c>
      <c r="B34">
        <v>22</v>
      </c>
      <c r="C34" s="2">
        <f>q02_genre_x_vocal[[#This Row],[instrumental_count]]/$H$56</f>
        <v>1.9434628975265019E-3</v>
      </c>
      <c r="D34">
        <v>11</v>
      </c>
      <c r="E34" s="2">
        <f>q02_genre_x_vocal[[#This Row],[background_vocal_count]]/$H$56</f>
        <v>9.7173144876325094E-4</v>
      </c>
      <c r="F34">
        <v>0</v>
      </c>
      <c r="G34" s="2">
        <f>q02_genre_x_vocal[[#This Row],[full_vocal_count]]/$H$56</f>
        <v>0</v>
      </c>
      <c r="H34">
        <v>33</v>
      </c>
    </row>
    <row r="35" spans="1:8" x14ac:dyDescent="0.2">
      <c r="A35" s="1" t="s">
        <v>36</v>
      </c>
      <c r="B35">
        <v>32</v>
      </c>
      <c r="C35" s="2">
        <f>q02_genre_x_vocal[[#This Row],[instrumental_count]]/$H$56</f>
        <v>2.8268551236749115E-3</v>
      </c>
      <c r="D35">
        <v>0</v>
      </c>
      <c r="E35" s="2">
        <f>q02_genre_x_vocal[[#This Row],[background_vocal_count]]/$H$56</f>
        <v>0</v>
      </c>
      <c r="F35">
        <v>0</v>
      </c>
      <c r="G35" s="2">
        <f>q02_genre_x_vocal[[#This Row],[full_vocal_count]]/$H$56</f>
        <v>0</v>
      </c>
      <c r="H35">
        <v>32</v>
      </c>
    </row>
    <row r="36" spans="1:8" x14ac:dyDescent="0.2">
      <c r="A36" s="1" t="s">
        <v>37</v>
      </c>
      <c r="B36">
        <v>27</v>
      </c>
      <c r="C36" s="2">
        <f>q02_genre_x_vocal[[#This Row],[instrumental_count]]/$H$56</f>
        <v>2.3851590106007069E-3</v>
      </c>
      <c r="D36">
        <v>5</v>
      </c>
      <c r="E36" s="2">
        <f>q02_genre_x_vocal[[#This Row],[background_vocal_count]]/$H$56</f>
        <v>4.4169611307420494E-4</v>
      </c>
      <c r="F36">
        <v>0</v>
      </c>
      <c r="G36" s="2">
        <f>q02_genre_x_vocal[[#This Row],[full_vocal_count]]/$H$56</f>
        <v>0</v>
      </c>
      <c r="H36">
        <v>32</v>
      </c>
    </row>
    <row r="37" spans="1:8" x14ac:dyDescent="0.2">
      <c r="A37" s="1" t="s">
        <v>38</v>
      </c>
      <c r="B37">
        <v>11</v>
      </c>
      <c r="C37" s="2">
        <f>q02_genre_x_vocal[[#This Row],[instrumental_count]]/$H$56</f>
        <v>9.7173144876325094E-4</v>
      </c>
      <c r="D37">
        <v>1</v>
      </c>
      <c r="E37" s="2">
        <f>q02_genre_x_vocal[[#This Row],[background_vocal_count]]/$H$56</f>
        <v>8.8339222614840986E-5</v>
      </c>
      <c r="F37">
        <v>10</v>
      </c>
      <c r="G37" s="2">
        <f>q02_genre_x_vocal[[#This Row],[full_vocal_count]]/$H$56</f>
        <v>8.8339222614840988E-4</v>
      </c>
      <c r="H37">
        <v>22</v>
      </c>
    </row>
    <row r="38" spans="1:8" x14ac:dyDescent="0.2">
      <c r="A38" s="1" t="s">
        <v>39</v>
      </c>
      <c r="B38">
        <v>18</v>
      </c>
      <c r="C38" s="2">
        <f>q02_genre_x_vocal[[#This Row],[instrumental_count]]/$H$56</f>
        <v>1.5901060070671379E-3</v>
      </c>
      <c r="D38">
        <v>2</v>
      </c>
      <c r="E38" s="2">
        <f>q02_genre_x_vocal[[#This Row],[background_vocal_count]]/$H$56</f>
        <v>1.7667844522968197E-4</v>
      </c>
      <c r="F38">
        <v>0</v>
      </c>
      <c r="G38" s="2">
        <f>q02_genre_x_vocal[[#This Row],[full_vocal_count]]/$H$56</f>
        <v>0</v>
      </c>
      <c r="H38">
        <v>20</v>
      </c>
    </row>
    <row r="39" spans="1:8" x14ac:dyDescent="0.2">
      <c r="A39" s="1" t="s">
        <v>40</v>
      </c>
      <c r="B39">
        <v>16</v>
      </c>
      <c r="C39" s="2">
        <f>q02_genre_x_vocal[[#This Row],[instrumental_count]]/$H$56</f>
        <v>1.4134275618374558E-3</v>
      </c>
      <c r="D39">
        <v>1</v>
      </c>
      <c r="E39" s="2">
        <f>q02_genre_x_vocal[[#This Row],[background_vocal_count]]/$H$56</f>
        <v>8.8339222614840986E-5</v>
      </c>
      <c r="F39">
        <v>0</v>
      </c>
      <c r="G39" s="2">
        <f>q02_genre_x_vocal[[#This Row],[full_vocal_count]]/$H$56</f>
        <v>0</v>
      </c>
      <c r="H39">
        <v>17</v>
      </c>
    </row>
    <row r="40" spans="1:8" x14ac:dyDescent="0.2">
      <c r="A40" s="1" t="s">
        <v>41</v>
      </c>
      <c r="B40">
        <v>13</v>
      </c>
      <c r="C40" s="2">
        <f>q02_genre_x_vocal[[#This Row],[instrumental_count]]/$H$56</f>
        <v>1.1484098939929328E-3</v>
      </c>
      <c r="D40">
        <v>2</v>
      </c>
      <c r="E40" s="2">
        <f>q02_genre_x_vocal[[#This Row],[background_vocal_count]]/$H$56</f>
        <v>1.7667844522968197E-4</v>
      </c>
      <c r="F40">
        <v>1</v>
      </c>
      <c r="G40" s="2">
        <f>q02_genre_x_vocal[[#This Row],[full_vocal_count]]/$H$56</f>
        <v>8.8339222614840986E-5</v>
      </c>
      <c r="H40">
        <v>16</v>
      </c>
    </row>
    <row r="41" spans="1:8" x14ac:dyDescent="0.2">
      <c r="A41" s="1" t="s">
        <v>42</v>
      </c>
      <c r="B41">
        <v>12</v>
      </c>
      <c r="C41" s="2">
        <f>q02_genre_x_vocal[[#This Row],[instrumental_count]]/$H$56</f>
        <v>1.0600706713780918E-3</v>
      </c>
      <c r="D41">
        <v>3</v>
      </c>
      <c r="E41" s="2">
        <f>q02_genre_x_vocal[[#This Row],[background_vocal_count]]/$H$56</f>
        <v>2.6501766784452294E-4</v>
      </c>
      <c r="F41">
        <v>0</v>
      </c>
      <c r="G41" s="2">
        <f>q02_genre_x_vocal[[#This Row],[full_vocal_count]]/$H$56</f>
        <v>0</v>
      </c>
      <c r="H41">
        <v>15</v>
      </c>
    </row>
    <row r="42" spans="1:8" x14ac:dyDescent="0.2">
      <c r="A42" s="1" t="s">
        <v>43</v>
      </c>
      <c r="B42">
        <v>8</v>
      </c>
      <c r="C42" s="2">
        <f>q02_genre_x_vocal[[#This Row],[instrumental_count]]/$H$56</f>
        <v>7.0671378091872788E-4</v>
      </c>
      <c r="D42">
        <v>6</v>
      </c>
      <c r="E42" s="2">
        <f>q02_genre_x_vocal[[#This Row],[background_vocal_count]]/$H$56</f>
        <v>5.3003533568904589E-4</v>
      </c>
      <c r="F42">
        <v>0</v>
      </c>
      <c r="G42" s="2">
        <f>q02_genre_x_vocal[[#This Row],[full_vocal_count]]/$H$56</f>
        <v>0</v>
      </c>
      <c r="H42">
        <v>14</v>
      </c>
    </row>
    <row r="43" spans="1:8" x14ac:dyDescent="0.2">
      <c r="A43" s="1" t="s">
        <v>44</v>
      </c>
      <c r="B43">
        <v>10</v>
      </c>
      <c r="C43" s="2">
        <f>q02_genre_x_vocal[[#This Row],[instrumental_count]]/$H$56</f>
        <v>8.8339222614840988E-4</v>
      </c>
      <c r="D43">
        <v>2</v>
      </c>
      <c r="E43" s="2">
        <f>q02_genre_x_vocal[[#This Row],[background_vocal_count]]/$H$56</f>
        <v>1.7667844522968197E-4</v>
      </c>
      <c r="F43">
        <v>0</v>
      </c>
      <c r="G43" s="2">
        <f>q02_genre_x_vocal[[#This Row],[full_vocal_count]]/$H$56</f>
        <v>0</v>
      </c>
      <c r="H43">
        <v>12</v>
      </c>
    </row>
    <row r="44" spans="1:8" x14ac:dyDescent="0.2">
      <c r="A44" s="1" t="s">
        <v>45</v>
      </c>
      <c r="B44">
        <v>10</v>
      </c>
      <c r="C44" s="2">
        <f>q02_genre_x_vocal[[#This Row],[instrumental_count]]/$H$56</f>
        <v>8.8339222614840988E-4</v>
      </c>
      <c r="D44">
        <v>0</v>
      </c>
      <c r="E44" s="2">
        <f>q02_genre_x_vocal[[#This Row],[background_vocal_count]]/$H$56</f>
        <v>0</v>
      </c>
      <c r="F44">
        <v>1</v>
      </c>
      <c r="G44" s="2">
        <f>q02_genre_x_vocal[[#This Row],[full_vocal_count]]/$H$56</f>
        <v>8.8339222614840986E-5</v>
      </c>
      <c r="H44">
        <v>11</v>
      </c>
    </row>
    <row r="45" spans="1:8" x14ac:dyDescent="0.2">
      <c r="A45" s="1" t="s">
        <v>46</v>
      </c>
      <c r="B45">
        <v>11</v>
      </c>
      <c r="C45" s="2">
        <f>q02_genre_x_vocal[[#This Row],[instrumental_count]]/$H$56</f>
        <v>9.7173144876325094E-4</v>
      </c>
      <c r="D45">
        <v>0</v>
      </c>
      <c r="E45" s="2">
        <f>q02_genre_x_vocal[[#This Row],[background_vocal_count]]/$H$56</f>
        <v>0</v>
      </c>
      <c r="F45">
        <v>0</v>
      </c>
      <c r="G45" s="2">
        <f>q02_genre_x_vocal[[#This Row],[full_vocal_count]]/$H$56</f>
        <v>0</v>
      </c>
      <c r="H45">
        <v>11</v>
      </c>
    </row>
    <row r="46" spans="1:8" x14ac:dyDescent="0.2">
      <c r="A46" s="1" t="s">
        <v>47</v>
      </c>
      <c r="B46">
        <v>9</v>
      </c>
      <c r="C46" s="2">
        <f>q02_genre_x_vocal[[#This Row],[instrumental_count]]/$H$56</f>
        <v>7.9505300353356894E-4</v>
      </c>
      <c r="D46">
        <v>1</v>
      </c>
      <c r="E46" s="2">
        <f>q02_genre_x_vocal[[#This Row],[background_vocal_count]]/$H$56</f>
        <v>8.8339222614840986E-5</v>
      </c>
      <c r="F46">
        <v>0</v>
      </c>
      <c r="G46" s="2">
        <f>q02_genre_x_vocal[[#This Row],[full_vocal_count]]/$H$56</f>
        <v>0</v>
      </c>
      <c r="H46">
        <v>10</v>
      </c>
    </row>
    <row r="47" spans="1:8" x14ac:dyDescent="0.2">
      <c r="A47" s="1" t="s">
        <v>48</v>
      </c>
      <c r="B47">
        <v>9</v>
      </c>
      <c r="C47" s="2">
        <f>q02_genre_x_vocal[[#This Row],[instrumental_count]]/$H$56</f>
        <v>7.9505300353356894E-4</v>
      </c>
      <c r="D47">
        <v>0</v>
      </c>
      <c r="E47" s="2">
        <f>q02_genre_x_vocal[[#This Row],[background_vocal_count]]/$H$56</f>
        <v>0</v>
      </c>
      <c r="F47">
        <v>0</v>
      </c>
      <c r="G47" s="2">
        <f>q02_genre_x_vocal[[#This Row],[full_vocal_count]]/$H$56</f>
        <v>0</v>
      </c>
      <c r="H47">
        <v>9</v>
      </c>
    </row>
    <row r="48" spans="1:8" x14ac:dyDescent="0.2">
      <c r="A48" s="1" t="s">
        <v>49</v>
      </c>
      <c r="B48">
        <v>8</v>
      </c>
      <c r="C48" s="2">
        <f>q02_genre_x_vocal[[#This Row],[instrumental_count]]/$H$56</f>
        <v>7.0671378091872788E-4</v>
      </c>
      <c r="D48">
        <v>0</v>
      </c>
      <c r="E48" s="2">
        <f>q02_genre_x_vocal[[#This Row],[background_vocal_count]]/$H$56</f>
        <v>0</v>
      </c>
      <c r="F48">
        <v>0</v>
      </c>
      <c r="G48" s="2">
        <f>q02_genre_x_vocal[[#This Row],[full_vocal_count]]/$H$56</f>
        <v>0</v>
      </c>
      <c r="H48">
        <v>8</v>
      </c>
    </row>
    <row r="49" spans="1:8" x14ac:dyDescent="0.2">
      <c r="A49" s="1" t="s">
        <v>50</v>
      </c>
      <c r="B49">
        <v>5</v>
      </c>
      <c r="C49" s="2">
        <f>q02_genre_x_vocal[[#This Row],[instrumental_count]]/$H$56</f>
        <v>4.4169611307420494E-4</v>
      </c>
      <c r="D49">
        <v>2</v>
      </c>
      <c r="E49" s="2">
        <f>q02_genre_x_vocal[[#This Row],[background_vocal_count]]/$H$56</f>
        <v>1.7667844522968197E-4</v>
      </c>
      <c r="F49">
        <v>1</v>
      </c>
      <c r="G49" s="2">
        <f>q02_genre_x_vocal[[#This Row],[full_vocal_count]]/$H$56</f>
        <v>8.8339222614840986E-5</v>
      </c>
      <c r="H49">
        <v>8</v>
      </c>
    </row>
    <row r="50" spans="1:8" x14ac:dyDescent="0.2">
      <c r="A50" s="1" t="s">
        <v>51</v>
      </c>
      <c r="B50">
        <v>7</v>
      </c>
      <c r="C50" s="2">
        <f>q02_genre_x_vocal[[#This Row],[instrumental_count]]/$H$56</f>
        <v>6.1837455830388694E-4</v>
      </c>
      <c r="D50">
        <v>1</v>
      </c>
      <c r="E50" s="2">
        <f>q02_genre_x_vocal[[#This Row],[background_vocal_count]]/$H$56</f>
        <v>8.8339222614840986E-5</v>
      </c>
      <c r="F50">
        <v>0</v>
      </c>
      <c r="G50" s="2">
        <f>q02_genre_x_vocal[[#This Row],[full_vocal_count]]/$H$56</f>
        <v>0</v>
      </c>
      <c r="H50">
        <v>8</v>
      </c>
    </row>
    <row r="51" spans="1:8" x14ac:dyDescent="0.2">
      <c r="A51" s="1" t="s">
        <v>52</v>
      </c>
      <c r="B51">
        <v>6</v>
      </c>
      <c r="C51" s="2">
        <f>q02_genre_x_vocal[[#This Row],[instrumental_count]]/$H$56</f>
        <v>5.3003533568904589E-4</v>
      </c>
      <c r="D51">
        <v>0</v>
      </c>
      <c r="E51" s="2">
        <f>q02_genre_x_vocal[[#This Row],[background_vocal_count]]/$H$56</f>
        <v>0</v>
      </c>
      <c r="F51">
        <v>0</v>
      </c>
      <c r="G51" s="2">
        <f>q02_genre_x_vocal[[#This Row],[full_vocal_count]]/$H$56</f>
        <v>0</v>
      </c>
      <c r="H51">
        <v>6</v>
      </c>
    </row>
    <row r="52" spans="1:8" x14ac:dyDescent="0.2">
      <c r="A52" s="1" t="s">
        <v>53</v>
      </c>
      <c r="B52">
        <v>5</v>
      </c>
      <c r="C52" s="2">
        <f>q02_genre_x_vocal[[#This Row],[instrumental_count]]/$H$56</f>
        <v>4.4169611307420494E-4</v>
      </c>
      <c r="D52">
        <v>0</v>
      </c>
      <c r="E52" s="2">
        <f>q02_genre_x_vocal[[#This Row],[background_vocal_count]]/$H$56</f>
        <v>0</v>
      </c>
      <c r="F52">
        <v>0</v>
      </c>
      <c r="G52" s="2">
        <f>q02_genre_x_vocal[[#This Row],[full_vocal_count]]/$H$56</f>
        <v>0</v>
      </c>
      <c r="H52">
        <v>5</v>
      </c>
    </row>
    <row r="53" spans="1:8" x14ac:dyDescent="0.2">
      <c r="A53" s="1" t="s">
        <v>54</v>
      </c>
      <c r="B53">
        <v>5</v>
      </c>
      <c r="C53" s="2">
        <f>q02_genre_x_vocal[[#This Row],[instrumental_count]]/$H$56</f>
        <v>4.4169611307420494E-4</v>
      </c>
      <c r="D53">
        <v>0</v>
      </c>
      <c r="E53" s="2">
        <f>q02_genre_x_vocal[[#This Row],[background_vocal_count]]/$H$56</f>
        <v>0</v>
      </c>
      <c r="F53">
        <v>0</v>
      </c>
      <c r="G53" s="2">
        <f>q02_genre_x_vocal[[#This Row],[full_vocal_count]]/$H$56</f>
        <v>0</v>
      </c>
      <c r="H53">
        <v>5</v>
      </c>
    </row>
    <row r="54" spans="1:8" x14ac:dyDescent="0.2">
      <c r="A54" s="1" t="s">
        <v>55</v>
      </c>
      <c r="B54">
        <v>2</v>
      </c>
      <c r="C54" s="2">
        <f>q02_genre_x_vocal[[#This Row],[instrumental_count]]/$H$56</f>
        <v>1.7667844522968197E-4</v>
      </c>
      <c r="D54">
        <v>0</v>
      </c>
      <c r="E54" s="2">
        <f>q02_genre_x_vocal[[#This Row],[background_vocal_count]]/$H$56</f>
        <v>0</v>
      </c>
      <c r="F54">
        <v>1</v>
      </c>
      <c r="G54" s="2">
        <f>q02_genre_x_vocal[[#This Row],[full_vocal_count]]/$H$56</f>
        <v>8.8339222614840986E-5</v>
      </c>
      <c r="H54">
        <v>3</v>
      </c>
    </row>
    <row r="55" spans="1:8" x14ac:dyDescent="0.2">
      <c r="A55" s="1" t="s">
        <v>56</v>
      </c>
      <c r="B55">
        <v>0</v>
      </c>
      <c r="C55" s="2">
        <f>q02_genre_x_vocal[[#This Row],[instrumental_count]]/$H$56</f>
        <v>0</v>
      </c>
      <c r="D55">
        <v>0</v>
      </c>
      <c r="E55" s="2">
        <f>q02_genre_x_vocal[[#This Row],[background_vocal_count]]/$H$56</f>
        <v>0</v>
      </c>
      <c r="F55">
        <v>1</v>
      </c>
      <c r="G55" s="2">
        <f>q02_genre_x_vocal[[#This Row],[full_vocal_count]]/$H$56</f>
        <v>8.8339222614840986E-5</v>
      </c>
      <c r="H55">
        <v>1</v>
      </c>
    </row>
    <row r="56" spans="1:8" x14ac:dyDescent="0.2">
      <c r="A56" s="1" t="s">
        <v>57</v>
      </c>
      <c r="B56">
        <v>8358</v>
      </c>
      <c r="C56" s="2">
        <f>q02_genre_x_vocal[[#This Row],[instrumental_count]]/$H$56</f>
        <v>0.73833922261484097</v>
      </c>
      <c r="D56">
        <v>2053</v>
      </c>
      <c r="E56" s="2">
        <f>q02_genre_x_vocal[[#This Row],[background_vocal_count]]/$H$56</f>
        <v>0.18136042402826855</v>
      </c>
      <c r="F56">
        <v>909</v>
      </c>
      <c r="G56" s="2">
        <f>q02_genre_x_vocal[[#This Row],[full_vocal_count]]/$H$56</f>
        <v>8.0300353356890453E-2</v>
      </c>
      <c r="H56">
        <v>11320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C0393-0590-D44A-B140-9D069451B0A9}">
  <dimension ref="A1:C56"/>
  <sheetViews>
    <sheetView workbookViewId="0">
      <selection activeCell="D7" sqref="D7"/>
    </sheetView>
  </sheetViews>
  <sheetFormatPr baseColWidth="10" defaultRowHeight="16" x14ac:dyDescent="0.2"/>
  <cols>
    <col min="1" max="1" width="20.6640625" bestFit="1" customWidth="1"/>
    <col min="2" max="2" width="13.1640625" bestFit="1" customWidth="1"/>
    <col min="3" max="3" width="15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3</v>
      </c>
      <c r="B2">
        <v>1209</v>
      </c>
      <c r="C2" s="2">
        <v>0.10680000000000001</v>
      </c>
    </row>
    <row r="3" spans="1:3" x14ac:dyDescent="0.2">
      <c r="A3" s="1" t="s">
        <v>4</v>
      </c>
      <c r="B3">
        <v>1118</v>
      </c>
      <c r="C3" s="2">
        <v>9.8799999999999999E-2</v>
      </c>
    </row>
    <row r="4" spans="1:3" x14ac:dyDescent="0.2">
      <c r="A4" s="1" t="s">
        <v>5</v>
      </c>
      <c r="B4">
        <v>815</v>
      </c>
      <c r="C4" s="2">
        <v>7.1999999999999995E-2</v>
      </c>
    </row>
    <row r="5" spans="1:3" x14ac:dyDescent="0.2">
      <c r="A5" s="1" t="s">
        <v>6</v>
      </c>
      <c r="B5">
        <v>810</v>
      </c>
      <c r="C5" s="2">
        <v>7.1599999999999997E-2</v>
      </c>
    </row>
    <row r="6" spans="1:3" x14ac:dyDescent="0.2">
      <c r="A6" s="1" t="s">
        <v>7</v>
      </c>
      <c r="B6">
        <v>775</v>
      </c>
      <c r="C6" s="2">
        <v>6.8500000000000005E-2</v>
      </c>
    </row>
    <row r="7" spans="1:3" x14ac:dyDescent="0.2">
      <c r="A7" s="1" t="s">
        <v>8</v>
      </c>
      <c r="B7">
        <v>641</v>
      </c>
      <c r="C7" s="2">
        <v>5.6599999999999998E-2</v>
      </c>
    </row>
    <row r="8" spans="1:3" x14ac:dyDescent="0.2">
      <c r="A8" s="1" t="s">
        <v>9</v>
      </c>
      <c r="B8">
        <v>600</v>
      </c>
      <c r="C8" s="2">
        <v>5.2999999999999999E-2</v>
      </c>
    </row>
    <row r="9" spans="1:3" x14ac:dyDescent="0.2">
      <c r="A9" s="1" t="s">
        <v>10</v>
      </c>
      <c r="B9">
        <v>553</v>
      </c>
      <c r="C9" s="2">
        <v>4.8899999999999999E-2</v>
      </c>
    </row>
    <row r="10" spans="1:3" x14ac:dyDescent="0.2">
      <c r="A10" s="1" t="s">
        <v>11</v>
      </c>
      <c r="B10">
        <v>514</v>
      </c>
      <c r="C10" s="2">
        <v>4.5400000000000003E-2</v>
      </c>
    </row>
    <row r="11" spans="1:3" x14ac:dyDescent="0.2">
      <c r="A11" s="1" t="s">
        <v>12</v>
      </c>
      <c r="B11">
        <v>458</v>
      </c>
      <c r="C11" s="2">
        <v>4.0500000000000001E-2</v>
      </c>
    </row>
    <row r="12" spans="1:3" x14ac:dyDescent="0.2">
      <c r="A12" s="1" t="s">
        <v>13</v>
      </c>
      <c r="B12">
        <v>416</v>
      </c>
      <c r="C12" s="2">
        <v>3.6700000000000003E-2</v>
      </c>
    </row>
    <row r="13" spans="1:3" x14ac:dyDescent="0.2">
      <c r="A13" s="1" t="s">
        <v>14</v>
      </c>
      <c r="B13">
        <v>321</v>
      </c>
      <c r="C13" s="2">
        <v>2.8400000000000002E-2</v>
      </c>
    </row>
    <row r="14" spans="1:3" x14ac:dyDescent="0.2">
      <c r="A14" s="1" t="s">
        <v>15</v>
      </c>
      <c r="B14">
        <v>292</v>
      </c>
      <c r="C14" s="2">
        <v>2.58E-2</v>
      </c>
    </row>
    <row r="15" spans="1:3" x14ac:dyDescent="0.2">
      <c r="A15" s="1" t="s">
        <v>16</v>
      </c>
      <c r="B15">
        <v>292</v>
      </c>
      <c r="C15" s="2">
        <v>2.58E-2</v>
      </c>
    </row>
    <row r="16" spans="1:3" x14ac:dyDescent="0.2">
      <c r="A16" s="1" t="s">
        <v>17</v>
      </c>
      <c r="B16">
        <v>290</v>
      </c>
      <c r="C16" s="2">
        <v>2.5600000000000001E-2</v>
      </c>
    </row>
    <row r="17" spans="1:3" x14ac:dyDescent="0.2">
      <c r="A17" s="1" t="s">
        <v>18</v>
      </c>
      <c r="B17">
        <v>240</v>
      </c>
      <c r="C17" s="2">
        <v>2.12E-2</v>
      </c>
    </row>
    <row r="18" spans="1:3" x14ac:dyDescent="0.2">
      <c r="A18" s="1" t="s">
        <v>19</v>
      </c>
      <c r="B18">
        <v>237</v>
      </c>
      <c r="C18" s="2">
        <v>2.0899999999999998E-2</v>
      </c>
    </row>
    <row r="19" spans="1:3" x14ac:dyDescent="0.2">
      <c r="A19" s="1" t="s">
        <v>20</v>
      </c>
      <c r="B19">
        <v>206</v>
      </c>
      <c r="C19" s="2">
        <v>1.8200000000000001E-2</v>
      </c>
    </row>
    <row r="20" spans="1:3" x14ac:dyDescent="0.2">
      <c r="A20" s="1" t="s">
        <v>21</v>
      </c>
      <c r="B20">
        <v>193</v>
      </c>
      <c r="C20" s="2">
        <v>1.7000000000000001E-2</v>
      </c>
    </row>
    <row r="21" spans="1:3" x14ac:dyDescent="0.2">
      <c r="A21" s="1" t="s">
        <v>22</v>
      </c>
      <c r="B21">
        <v>149</v>
      </c>
      <c r="C21" s="2">
        <v>1.32E-2</v>
      </c>
    </row>
    <row r="22" spans="1:3" x14ac:dyDescent="0.2">
      <c r="A22" s="1" t="s">
        <v>23</v>
      </c>
      <c r="B22">
        <v>125</v>
      </c>
      <c r="C22" s="2">
        <v>1.0999999999999999E-2</v>
      </c>
    </row>
    <row r="23" spans="1:3" x14ac:dyDescent="0.2">
      <c r="A23" s="1" t="s">
        <v>24</v>
      </c>
      <c r="B23">
        <v>121</v>
      </c>
      <c r="C23" s="2">
        <v>1.0699999999999999E-2</v>
      </c>
    </row>
    <row r="24" spans="1:3" x14ac:dyDescent="0.2">
      <c r="A24" s="1" t="s">
        <v>25</v>
      </c>
      <c r="B24">
        <v>112</v>
      </c>
      <c r="C24" s="2">
        <v>9.9000000000000008E-3</v>
      </c>
    </row>
    <row r="25" spans="1:3" x14ac:dyDescent="0.2">
      <c r="A25" s="1" t="s">
        <v>26</v>
      </c>
      <c r="B25">
        <v>91</v>
      </c>
      <c r="C25" s="2">
        <v>8.0000000000000002E-3</v>
      </c>
    </row>
    <row r="26" spans="1:3" x14ac:dyDescent="0.2">
      <c r="A26" s="1" t="s">
        <v>27</v>
      </c>
      <c r="B26">
        <v>79</v>
      </c>
      <c r="C26" s="2">
        <v>7.0000000000000001E-3</v>
      </c>
    </row>
    <row r="27" spans="1:3" x14ac:dyDescent="0.2">
      <c r="A27" s="1" t="s">
        <v>28</v>
      </c>
      <c r="B27">
        <v>75</v>
      </c>
      <c r="C27" s="2">
        <v>6.6E-3</v>
      </c>
    </row>
    <row r="28" spans="1:3" x14ac:dyDescent="0.2">
      <c r="A28" s="1" t="s">
        <v>29</v>
      </c>
      <c r="B28">
        <v>66</v>
      </c>
      <c r="C28" s="2">
        <v>5.7999999999999996E-3</v>
      </c>
    </row>
    <row r="29" spans="1:3" x14ac:dyDescent="0.2">
      <c r="A29" s="1" t="s">
        <v>30</v>
      </c>
      <c r="B29">
        <v>61</v>
      </c>
      <c r="C29" s="2">
        <v>5.4000000000000003E-3</v>
      </c>
    </row>
    <row r="30" spans="1:3" x14ac:dyDescent="0.2">
      <c r="A30" s="1" t="s">
        <v>31</v>
      </c>
      <c r="B30">
        <v>44</v>
      </c>
      <c r="C30" s="2">
        <v>3.8999999999999998E-3</v>
      </c>
    </row>
    <row r="31" spans="1:3" x14ac:dyDescent="0.2">
      <c r="A31" s="1" t="s">
        <v>32</v>
      </c>
      <c r="B31">
        <v>42</v>
      </c>
      <c r="C31" s="2">
        <v>3.7000000000000002E-3</v>
      </c>
    </row>
    <row r="32" spans="1:3" x14ac:dyDescent="0.2">
      <c r="A32" s="1" t="s">
        <v>33</v>
      </c>
      <c r="B32">
        <v>41</v>
      </c>
      <c r="C32" s="2">
        <v>3.5999999999999999E-3</v>
      </c>
    </row>
    <row r="33" spans="1:3" x14ac:dyDescent="0.2">
      <c r="A33" s="1" t="s">
        <v>34</v>
      </c>
      <c r="B33">
        <v>36</v>
      </c>
      <c r="C33" s="2">
        <v>3.2000000000000002E-3</v>
      </c>
    </row>
    <row r="34" spans="1:3" x14ac:dyDescent="0.2">
      <c r="A34" s="1" t="s">
        <v>35</v>
      </c>
      <c r="B34">
        <v>33</v>
      </c>
      <c r="C34" s="2">
        <v>2.8999999999999998E-3</v>
      </c>
    </row>
    <row r="35" spans="1:3" x14ac:dyDescent="0.2">
      <c r="A35" s="1" t="s">
        <v>36</v>
      </c>
      <c r="B35">
        <v>32</v>
      </c>
      <c r="C35" s="2">
        <v>2.8E-3</v>
      </c>
    </row>
    <row r="36" spans="1:3" x14ac:dyDescent="0.2">
      <c r="A36" s="1" t="s">
        <v>37</v>
      </c>
      <c r="B36">
        <v>32</v>
      </c>
      <c r="C36" s="2">
        <v>2.8E-3</v>
      </c>
    </row>
    <row r="37" spans="1:3" x14ac:dyDescent="0.2">
      <c r="A37" s="1" t="s">
        <v>38</v>
      </c>
      <c r="B37">
        <v>22</v>
      </c>
      <c r="C37" s="2">
        <v>1.9E-3</v>
      </c>
    </row>
    <row r="38" spans="1:3" x14ac:dyDescent="0.2">
      <c r="A38" s="1" t="s">
        <v>39</v>
      </c>
      <c r="B38">
        <v>20</v>
      </c>
      <c r="C38" s="2">
        <v>1.8E-3</v>
      </c>
    </row>
    <row r="39" spans="1:3" x14ac:dyDescent="0.2">
      <c r="A39" s="1" t="s">
        <v>40</v>
      </c>
      <c r="B39">
        <v>17</v>
      </c>
      <c r="C39" s="2">
        <v>1.5E-3</v>
      </c>
    </row>
    <row r="40" spans="1:3" x14ac:dyDescent="0.2">
      <c r="A40" s="1" t="s">
        <v>41</v>
      </c>
      <c r="B40">
        <v>16</v>
      </c>
      <c r="C40" s="2">
        <v>1.4E-3</v>
      </c>
    </row>
    <row r="41" spans="1:3" x14ac:dyDescent="0.2">
      <c r="A41" s="1" t="s">
        <v>42</v>
      </c>
      <c r="B41">
        <v>15</v>
      </c>
      <c r="C41" s="2">
        <v>1.2999999999999999E-3</v>
      </c>
    </row>
    <row r="42" spans="1:3" x14ac:dyDescent="0.2">
      <c r="A42" s="1" t="s">
        <v>43</v>
      </c>
      <c r="B42">
        <v>14</v>
      </c>
      <c r="C42" s="2">
        <v>1.1999999999999999E-3</v>
      </c>
    </row>
    <row r="43" spans="1:3" x14ac:dyDescent="0.2">
      <c r="A43" s="1" t="s">
        <v>44</v>
      </c>
      <c r="B43">
        <v>12</v>
      </c>
      <c r="C43" s="2">
        <v>1.1000000000000001E-3</v>
      </c>
    </row>
    <row r="44" spans="1:3" x14ac:dyDescent="0.2">
      <c r="A44" s="1" t="s">
        <v>45</v>
      </c>
      <c r="B44">
        <v>11</v>
      </c>
      <c r="C44" s="2">
        <v>1E-3</v>
      </c>
    </row>
    <row r="45" spans="1:3" x14ac:dyDescent="0.2">
      <c r="A45" s="1" t="s">
        <v>46</v>
      </c>
      <c r="B45">
        <v>11</v>
      </c>
      <c r="C45" s="2">
        <v>1E-3</v>
      </c>
    </row>
    <row r="46" spans="1:3" x14ac:dyDescent="0.2">
      <c r="A46" s="1" t="s">
        <v>47</v>
      </c>
      <c r="B46">
        <v>10</v>
      </c>
      <c r="C46" s="2">
        <v>8.9999999999999998E-4</v>
      </c>
    </row>
    <row r="47" spans="1:3" x14ac:dyDescent="0.2">
      <c r="A47" s="1" t="s">
        <v>48</v>
      </c>
      <c r="B47">
        <v>9</v>
      </c>
      <c r="C47" s="2">
        <v>8.0000000000000004E-4</v>
      </c>
    </row>
    <row r="48" spans="1:3" x14ac:dyDescent="0.2">
      <c r="A48" s="1" t="s">
        <v>49</v>
      </c>
      <c r="B48">
        <v>8</v>
      </c>
      <c r="C48" s="2">
        <v>6.9999999999999999E-4</v>
      </c>
    </row>
    <row r="49" spans="1:3" x14ac:dyDescent="0.2">
      <c r="A49" s="1" t="s">
        <v>50</v>
      </c>
      <c r="B49">
        <v>8</v>
      </c>
      <c r="C49" s="2">
        <v>6.9999999999999999E-4</v>
      </c>
    </row>
    <row r="50" spans="1:3" x14ac:dyDescent="0.2">
      <c r="A50" s="1" t="s">
        <v>51</v>
      </c>
      <c r="B50">
        <v>8</v>
      </c>
      <c r="C50" s="2">
        <v>6.9999999999999999E-4</v>
      </c>
    </row>
    <row r="51" spans="1:3" x14ac:dyDescent="0.2">
      <c r="A51" s="1" t="s">
        <v>52</v>
      </c>
      <c r="B51">
        <v>6</v>
      </c>
      <c r="C51" s="2">
        <v>5.0000000000000001E-4</v>
      </c>
    </row>
    <row r="52" spans="1:3" x14ac:dyDescent="0.2">
      <c r="A52" s="1" t="s">
        <v>53</v>
      </c>
      <c r="B52">
        <v>5</v>
      </c>
      <c r="C52" s="2">
        <v>4.0000000000000002E-4</v>
      </c>
    </row>
    <row r="53" spans="1:3" x14ac:dyDescent="0.2">
      <c r="A53" s="1" t="s">
        <v>54</v>
      </c>
      <c r="B53">
        <v>5</v>
      </c>
      <c r="C53" s="2">
        <v>4.0000000000000002E-4</v>
      </c>
    </row>
    <row r="54" spans="1:3" x14ac:dyDescent="0.2">
      <c r="A54" s="1" t="s">
        <v>55</v>
      </c>
      <c r="B54">
        <v>3</v>
      </c>
      <c r="C54" s="2">
        <v>2.9999999999999997E-4</v>
      </c>
    </row>
    <row r="55" spans="1:3" x14ac:dyDescent="0.2">
      <c r="A55" s="1" t="s">
        <v>56</v>
      </c>
      <c r="B55">
        <v>1</v>
      </c>
      <c r="C55" s="2">
        <v>1E-4</v>
      </c>
    </row>
    <row r="56" spans="1:3" x14ac:dyDescent="0.2">
      <c r="A56" s="1" t="s">
        <v>57</v>
      </c>
      <c r="B56">
        <v>11320</v>
      </c>
      <c r="C56" s="2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2CC48C-3D06-B84B-92F2-5A67C5B371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q02_genre_x_vocal</vt:lpstr>
      <vt:lpstr>q01_genre_breakdown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Devon Bennett</dc:creator>
  <cp:lastModifiedBy>Devon Bennett</cp:lastModifiedBy>
  <dcterms:created xsi:type="dcterms:W3CDTF">2026-05-05T16:40:26Z</dcterms:created>
  <dcterms:modified xsi:type="dcterms:W3CDTF">2026-05-05T16:50:54Z</dcterms:modified>
</cp:coreProperties>
</file>