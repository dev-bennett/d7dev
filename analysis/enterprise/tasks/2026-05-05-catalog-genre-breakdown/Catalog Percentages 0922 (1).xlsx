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zarrilli/Desktop/"/>
    </mc:Choice>
  </mc:AlternateContent>
  <xr:revisionPtr revIDLastSave="0" documentId="8_{C7DDAF92-792F-3E4B-9BF9-D26023883928}" xr6:coauthVersionLast="47" xr6:coauthVersionMax="47" xr10:uidLastSave="{00000000-0000-0000-0000-000000000000}"/>
  <bookViews>
    <workbookView xWindow="1100" yWindow="820" windowWidth="27200" windowHeight="17120" xr2:uid="{B1F8F656-8FB2-4E41-8FBE-84A925B66FAE}"/>
  </bookViews>
  <sheets>
    <sheet name="Catalog Sta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3" i="1"/>
  <c r="N24" i="1"/>
  <c r="O24" i="1"/>
  <c r="M24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N3" i="1"/>
  <c r="O3" i="1"/>
  <c r="M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3" i="1"/>
  <c r="B24" i="1"/>
</calcChain>
</file>

<file path=xl/sharedStrings.xml><?xml version="1.0" encoding="utf-8"?>
<sst xmlns="http://schemas.openxmlformats.org/spreadsheetml/2006/main" count="53" uniqueCount="28">
  <si>
    <t>Acoustic</t>
  </si>
  <si>
    <t>Ballad</t>
  </si>
  <si>
    <t>Blues</t>
  </si>
  <si>
    <t>Cinematic</t>
  </si>
  <si>
    <t>Classical</t>
  </si>
  <si>
    <t>Corporate</t>
  </si>
  <si>
    <t>Country</t>
  </si>
  <si>
    <t>Electronic</t>
  </si>
  <si>
    <t>Experimental</t>
  </si>
  <si>
    <t>Folk</t>
  </si>
  <si>
    <t>Funk</t>
  </si>
  <si>
    <t>Gospel</t>
  </si>
  <si>
    <t>Hip Hop</t>
  </si>
  <si>
    <t>Holiday</t>
  </si>
  <si>
    <t>Indie</t>
  </si>
  <si>
    <t>Jazz</t>
  </si>
  <si>
    <t>Pop</t>
  </si>
  <si>
    <t>R&amp;B</t>
  </si>
  <si>
    <t>Rock</t>
  </si>
  <si>
    <t>Soundtrack</t>
  </si>
  <si>
    <t>World</t>
  </si>
  <si>
    <t>General Genre</t>
  </si>
  <si>
    <t>background vocal</t>
  </si>
  <si>
    <t>full vocal</t>
  </si>
  <si>
    <t>instrumental</t>
  </si>
  <si>
    <t>total</t>
  </si>
  <si>
    <t>vocals vs non vocals by percentage</t>
  </si>
  <si>
    <t>vocals vs non vocals by song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</si>
</sst>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9" fontId="0" fillId="0" borderId="0" xfId="0" applyNumberFormat="1"/>
    <xf numFmtId="165" fontId="0" fillId="0" borderId="0" xfId="2" applyNumberFormat="1" applyFont="1"/>
    <xf numFmtId="165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758B-7F35-3749-85D8-2DF548DCEB69}">
  <dimension ref="A1:P24"/>
  <sheetViews>
    <sheetView tabSelected="1" workbookViewId="0">
      <selection activeCell="A24" sqref="A24"/>
    </sheetView>
  </sheetViews>
  <sheetFormatPr baseColWidth="10" defaultRowHeight="16" x14ac:dyDescent="0.2"/>
  <cols>
    <col min="1" max="1" width="13" bestFit="1" customWidth="1"/>
    <col min="8" max="8" width="16" customWidth="1"/>
    <col min="10" max="10" width="11.5" bestFit="1" customWidth="1"/>
    <col min="13" max="13" width="15.6640625" customWidth="1"/>
  </cols>
  <sheetData>
    <row r="1" spans="1:16" x14ac:dyDescent="0.2">
      <c r="A1" t="s">
        <v>21</v>
      </c>
      <c r="G1" t="s">
        <v>26</v>
      </c>
      <c r="M1" t="s">
        <v>27</v>
      </c>
    </row>
    <row r="2" spans="1:16" x14ac:dyDescent="0.2">
      <c r="H2" t="s">
        <v>22</v>
      </c>
      <c r="I2" t="s">
        <v>23</v>
      </c>
      <c r="J2" t="s">
        <v>24</v>
      </c>
      <c r="K2" t="s">
        <v>25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2">
      <c r="A3" t="s">
        <v>0</v>
      </c>
      <c r="B3" s="1">
        <v>5.2999999999999999E-2</v>
      </c>
      <c r="C3" s="5">
        <f>B3*$C$24</f>
        <v>609.5</v>
      </c>
      <c r="G3" t="s">
        <v>0</v>
      </c>
      <c r="H3" s="1">
        <v>4.9143372407574396E-3</v>
      </c>
      <c r="I3" s="1">
        <v>8.8367899008115411E-3</v>
      </c>
      <c r="J3" s="1">
        <v>3.9495040577096484E-2</v>
      </c>
      <c r="K3" s="1">
        <v>5.3246167718665464E-2</v>
      </c>
      <c r="M3" s="4">
        <f>H3*$C$24</f>
        <v>56.514878268710554</v>
      </c>
      <c r="N3" s="4">
        <f t="shared" ref="N3:O3" si="0">I3*$C$24</f>
        <v>101.62308385933272</v>
      </c>
      <c r="O3" s="4">
        <f t="shared" si="0"/>
        <v>454.19296663660958</v>
      </c>
      <c r="P3" s="4">
        <f>SUM(M3:O3)</f>
        <v>612.33092876465287</v>
      </c>
    </row>
    <row r="4" spans="1:16" x14ac:dyDescent="0.2">
      <c r="A4" t="s">
        <v>1</v>
      </c>
      <c r="B4" s="1">
        <v>1.3000000000000001E-2</v>
      </c>
      <c r="C4" s="5">
        <f t="shared" ref="C4:C23" si="1">B4*$C$24</f>
        <v>149.5</v>
      </c>
      <c r="G4" t="s">
        <v>1</v>
      </c>
      <c r="H4" s="1">
        <v>1.4427412082957619E-3</v>
      </c>
      <c r="I4" s="1">
        <v>4.9594229035166814E-3</v>
      </c>
      <c r="J4" s="1">
        <v>6.582506762849414E-3</v>
      </c>
      <c r="K4" s="1">
        <v>1.2984670874661857E-2</v>
      </c>
      <c r="M4" s="4">
        <f t="shared" ref="M4:M23" si="2">H4*$C$24</f>
        <v>16.591523895401263</v>
      </c>
      <c r="N4" s="4">
        <f t="shared" ref="N4:N23" si="3">I4*$C$24</f>
        <v>57.033363390441835</v>
      </c>
      <c r="O4" s="4">
        <f t="shared" ref="O4:O23" si="4">J4*$C$24</f>
        <v>75.698827772768254</v>
      </c>
      <c r="P4" s="4">
        <f t="shared" ref="P4:P23" si="5">SUM(M4:O4)</f>
        <v>149.32371505861136</v>
      </c>
    </row>
    <row r="5" spans="1:16" x14ac:dyDescent="0.2">
      <c r="A5" t="s">
        <v>2</v>
      </c>
      <c r="B5" s="1">
        <v>6.0000000000000001E-3</v>
      </c>
      <c r="C5" s="5">
        <f t="shared" si="1"/>
        <v>69</v>
      </c>
      <c r="G5" t="s">
        <v>2</v>
      </c>
      <c r="H5" s="1">
        <v>2.7051397655545537E-4</v>
      </c>
      <c r="I5" s="1">
        <v>1.3525698827772769E-4</v>
      </c>
      <c r="J5" s="1">
        <v>5.6807935076645623E-3</v>
      </c>
      <c r="K5" s="1">
        <v>6.0865644724977458E-3</v>
      </c>
      <c r="M5" s="4">
        <f t="shared" si="2"/>
        <v>3.1109107303877366</v>
      </c>
      <c r="N5" s="4">
        <f t="shared" si="3"/>
        <v>1.5554553651938683</v>
      </c>
      <c r="O5" s="4">
        <f t="shared" si="4"/>
        <v>65.329125338142461</v>
      </c>
      <c r="P5" s="4">
        <f t="shared" si="5"/>
        <v>69.995491433724069</v>
      </c>
    </row>
    <row r="6" spans="1:16" x14ac:dyDescent="0.2">
      <c r="A6" t="s">
        <v>3</v>
      </c>
      <c r="B6" s="1">
        <v>0.02</v>
      </c>
      <c r="C6" s="5">
        <f t="shared" si="1"/>
        <v>230</v>
      </c>
      <c r="G6" t="s">
        <v>3</v>
      </c>
      <c r="H6" s="1">
        <v>5.4102795311091077E-3</v>
      </c>
      <c r="I6" s="1">
        <v>4.0577096483318303E-4</v>
      </c>
      <c r="J6" s="1">
        <v>1.3706041478809739E-2</v>
      </c>
      <c r="K6" s="1">
        <v>1.9522091974752027E-2</v>
      </c>
      <c r="M6" s="4">
        <f t="shared" si="2"/>
        <v>62.218214607754739</v>
      </c>
      <c r="N6" s="4">
        <f t="shared" si="3"/>
        <v>4.6663660955816049</v>
      </c>
      <c r="O6" s="4">
        <f t="shared" si="4"/>
        <v>157.619477006312</v>
      </c>
      <c r="P6" s="4">
        <f t="shared" si="5"/>
        <v>224.50405770964835</v>
      </c>
    </row>
    <row r="7" spans="1:16" x14ac:dyDescent="0.2">
      <c r="A7" t="s">
        <v>4</v>
      </c>
      <c r="B7" s="1">
        <v>5.2999999999999999E-2</v>
      </c>
      <c r="C7" s="5">
        <f t="shared" si="1"/>
        <v>609.5</v>
      </c>
      <c r="G7" t="s">
        <v>4</v>
      </c>
      <c r="H7" s="1">
        <v>5.4553651938683495E-3</v>
      </c>
      <c r="I7" s="1">
        <v>2.7051397655545537E-4</v>
      </c>
      <c r="J7" s="1">
        <v>4.6844003606853021E-2</v>
      </c>
      <c r="K7" s="1">
        <v>5.2569882777276825E-2</v>
      </c>
      <c r="M7" s="4">
        <f t="shared" si="2"/>
        <v>62.73669972948602</v>
      </c>
      <c r="N7" s="4">
        <f t="shared" si="3"/>
        <v>3.1109107303877366</v>
      </c>
      <c r="O7" s="4">
        <f t="shared" si="4"/>
        <v>538.70604147880977</v>
      </c>
      <c r="P7" s="4">
        <f t="shared" si="5"/>
        <v>604.55365193868352</v>
      </c>
    </row>
    <row r="8" spans="1:16" x14ac:dyDescent="0.2">
      <c r="A8" t="s">
        <v>5</v>
      </c>
      <c r="B8" s="1">
        <v>5.7999999999999996E-2</v>
      </c>
      <c r="C8" s="5">
        <f t="shared" si="1"/>
        <v>667</v>
      </c>
      <c r="G8" t="s">
        <v>5</v>
      </c>
      <c r="H8" s="1">
        <v>1.0279531109107305E-2</v>
      </c>
      <c r="I8" s="1">
        <v>1.3976555455365194E-3</v>
      </c>
      <c r="J8" s="1">
        <v>4.5897204688908927E-2</v>
      </c>
      <c r="K8" s="1">
        <v>5.7574391343552751E-2</v>
      </c>
      <c r="M8" s="4">
        <f t="shared" si="2"/>
        <v>118.214607754734</v>
      </c>
      <c r="N8" s="4">
        <f t="shared" si="3"/>
        <v>16.073038773669975</v>
      </c>
      <c r="O8" s="4">
        <f t="shared" si="4"/>
        <v>527.81785392245263</v>
      </c>
      <c r="P8" s="4">
        <f t="shared" si="5"/>
        <v>662.10550045085665</v>
      </c>
    </row>
    <row r="9" spans="1:16" x14ac:dyDescent="0.2">
      <c r="A9" t="s">
        <v>6</v>
      </c>
      <c r="B9" s="1">
        <v>1.8000000000000002E-2</v>
      </c>
      <c r="C9" s="5">
        <f t="shared" si="1"/>
        <v>207.00000000000003</v>
      </c>
      <c r="G9" t="s">
        <v>6</v>
      </c>
      <c r="H9" s="1">
        <v>1.3525698827772769E-3</v>
      </c>
      <c r="I9" s="1">
        <v>1.2623985572587917E-3</v>
      </c>
      <c r="J9" s="1">
        <v>1.5464382326420199E-2</v>
      </c>
      <c r="K9" s="1">
        <v>1.8079350766456267E-2</v>
      </c>
      <c r="M9" s="4">
        <f t="shared" si="2"/>
        <v>15.554553651938685</v>
      </c>
      <c r="N9" s="4">
        <f t="shared" si="3"/>
        <v>14.517583408476105</v>
      </c>
      <c r="O9" s="4">
        <f t="shared" si="4"/>
        <v>177.84039675383229</v>
      </c>
      <c r="P9" s="4">
        <f t="shared" si="5"/>
        <v>207.91253381424707</v>
      </c>
    </row>
    <row r="10" spans="1:16" x14ac:dyDescent="0.2">
      <c r="A10" t="s">
        <v>7</v>
      </c>
      <c r="B10" s="1">
        <v>0.13800000000000001</v>
      </c>
      <c r="C10" s="5">
        <f t="shared" si="1"/>
        <v>1587.0000000000002</v>
      </c>
      <c r="G10" t="s">
        <v>7</v>
      </c>
      <c r="H10" s="1">
        <v>3.9044183949504055E-2</v>
      </c>
      <c r="I10" s="1">
        <v>1.1947700631199279E-2</v>
      </c>
      <c r="J10" s="1">
        <v>8.6699729486023447E-2</v>
      </c>
      <c r="K10" s="1">
        <v>0.13769161406672678</v>
      </c>
      <c r="M10" s="4">
        <f t="shared" si="2"/>
        <v>449.00811541929664</v>
      </c>
      <c r="N10" s="4">
        <f t="shared" si="3"/>
        <v>137.3985572587917</v>
      </c>
      <c r="O10" s="4">
        <f t="shared" si="4"/>
        <v>997.0468890892696</v>
      </c>
      <c r="P10" s="4">
        <f t="shared" si="5"/>
        <v>1583.453561767358</v>
      </c>
    </row>
    <row r="11" spans="1:16" x14ac:dyDescent="0.2">
      <c r="A11" t="s">
        <v>8</v>
      </c>
      <c r="B11" s="1">
        <v>1.3000000000000001E-2</v>
      </c>
      <c r="C11" s="5">
        <f t="shared" si="1"/>
        <v>149.5</v>
      </c>
      <c r="G11" t="s">
        <v>8</v>
      </c>
      <c r="H11" s="1">
        <v>4.5536519386834987E-3</v>
      </c>
      <c r="I11" s="1">
        <v>1.0820559062218215E-3</v>
      </c>
      <c r="J11" s="1">
        <v>7.5293056807935075E-3</v>
      </c>
      <c r="K11" s="1">
        <v>1.3165013525698828E-2</v>
      </c>
      <c r="M11" s="4">
        <f t="shared" si="2"/>
        <v>52.366997294860234</v>
      </c>
      <c r="N11" s="4">
        <f t="shared" si="3"/>
        <v>12.443642921550946</v>
      </c>
      <c r="O11" s="4">
        <f t="shared" si="4"/>
        <v>86.587015329125336</v>
      </c>
      <c r="P11" s="4">
        <f t="shared" si="5"/>
        <v>151.39765554553651</v>
      </c>
    </row>
    <row r="12" spans="1:16" x14ac:dyDescent="0.2">
      <c r="A12" t="s">
        <v>9</v>
      </c>
      <c r="B12" s="1">
        <v>2.2000000000000002E-2</v>
      </c>
      <c r="C12" s="5">
        <f t="shared" si="1"/>
        <v>253.00000000000003</v>
      </c>
      <c r="G12" t="s">
        <v>9</v>
      </c>
      <c r="H12" s="1">
        <v>2.7502254283137961E-3</v>
      </c>
      <c r="I12" s="1">
        <v>3.8773669972948601E-3</v>
      </c>
      <c r="J12" s="1">
        <v>1.5329125338142471E-2</v>
      </c>
      <c r="K12" s="1">
        <v>2.1956717763751125E-2</v>
      </c>
      <c r="M12" s="4">
        <f t="shared" si="2"/>
        <v>31.627592425608654</v>
      </c>
      <c r="N12" s="4">
        <f t="shared" si="3"/>
        <v>44.589720468890889</v>
      </c>
      <c r="O12" s="4">
        <f t="shared" si="4"/>
        <v>176.28494138863843</v>
      </c>
      <c r="P12" s="4">
        <f t="shared" si="5"/>
        <v>252.50225428313797</v>
      </c>
    </row>
    <row r="13" spans="1:16" x14ac:dyDescent="0.2">
      <c r="A13" t="s">
        <v>10</v>
      </c>
      <c r="B13" s="1">
        <v>1.4999999999999999E-2</v>
      </c>
      <c r="C13" s="5">
        <f t="shared" si="1"/>
        <v>172.5</v>
      </c>
      <c r="G13" t="s">
        <v>10</v>
      </c>
      <c r="H13" s="1">
        <v>3.3363390441839497E-3</v>
      </c>
      <c r="I13" s="1">
        <v>4.0577096483318303E-4</v>
      </c>
      <c r="J13" s="1">
        <v>1.1316501352569883E-2</v>
      </c>
      <c r="K13" s="1">
        <v>1.5058611361587015E-2</v>
      </c>
      <c r="M13" s="4">
        <f t="shared" si="2"/>
        <v>38.367899008115423</v>
      </c>
      <c r="N13" s="4">
        <f t="shared" si="3"/>
        <v>4.6663660955816049</v>
      </c>
      <c r="O13" s="4">
        <f t="shared" si="4"/>
        <v>130.13976555455366</v>
      </c>
      <c r="P13" s="4">
        <f t="shared" si="5"/>
        <v>173.17403065825067</v>
      </c>
    </row>
    <row r="14" spans="1:16" x14ac:dyDescent="0.2">
      <c r="A14" t="s">
        <v>11</v>
      </c>
      <c r="B14" s="1">
        <v>2E-3</v>
      </c>
      <c r="C14" s="5">
        <f t="shared" si="1"/>
        <v>23</v>
      </c>
      <c r="G14" t="s">
        <v>11</v>
      </c>
      <c r="H14" s="1">
        <v>9.017132551848512E-5</v>
      </c>
      <c r="I14" s="1">
        <v>5.4102795311091075E-4</v>
      </c>
      <c r="J14" s="1">
        <v>1.1722272317403065E-3</v>
      </c>
      <c r="K14" s="1">
        <v>1.8034265103697023E-3</v>
      </c>
      <c r="M14" s="4">
        <f t="shared" si="2"/>
        <v>1.0369702434625789</v>
      </c>
      <c r="N14" s="4">
        <f t="shared" si="3"/>
        <v>6.2218214607754732</v>
      </c>
      <c r="O14" s="4">
        <f t="shared" si="4"/>
        <v>13.480613165013525</v>
      </c>
      <c r="P14" s="4">
        <f t="shared" si="5"/>
        <v>20.739404869251576</v>
      </c>
    </row>
    <row r="15" spans="1:16" x14ac:dyDescent="0.2">
      <c r="A15" t="s">
        <v>12</v>
      </c>
      <c r="B15" s="1">
        <v>8.3000000000000004E-2</v>
      </c>
      <c r="C15" s="5">
        <f t="shared" si="1"/>
        <v>954.5</v>
      </c>
      <c r="G15" t="s">
        <v>12</v>
      </c>
      <c r="H15" s="1">
        <v>2.1956717763751125E-2</v>
      </c>
      <c r="I15" s="1">
        <v>6.4472497745716858E-3</v>
      </c>
      <c r="J15" s="1">
        <v>5.4959422903516679E-2</v>
      </c>
      <c r="K15" s="1">
        <v>8.3363390441839491E-2</v>
      </c>
      <c r="M15" s="4">
        <f t="shared" si="2"/>
        <v>252.50225428313794</v>
      </c>
      <c r="N15" s="4">
        <f t="shared" si="3"/>
        <v>74.14337240757439</v>
      </c>
      <c r="O15" s="4">
        <f t="shared" si="4"/>
        <v>632.03336339044176</v>
      </c>
      <c r="P15" s="4">
        <f t="shared" si="5"/>
        <v>958.6789900811541</v>
      </c>
    </row>
    <row r="16" spans="1:16" x14ac:dyDescent="0.2">
      <c r="A16" t="s">
        <v>13</v>
      </c>
      <c r="B16" s="1">
        <v>2E-3</v>
      </c>
      <c r="C16" s="5">
        <f t="shared" si="1"/>
        <v>23</v>
      </c>
      <c r="G16" t="s">
        <v>13</v>
      </c>
      <c r="H16" s="1">
        <v>4.0577096483318303E-4</v>
      </c>
      <c r="I16" s="1">
        <v>0</v>
      </c>
      <c r="J16" s="1">
        <v>2.0288548241659153E-3</v>
      </c>
      <c r="K16" s="1">
        <v>2.4346257889990984E-3</v>
      </c>
      <c r="M16" s="4">
        <f t="shared" si="2"/>
        <v>4.6663660955816049</v>
      </c>
      <c r="N16" s="4">
        <f t="shared" si="3"/>
        <v>0</v>
      </c>
      <c r="O16" s="4">
        <f t="shared" si="4"/>
        <v>23.331830477908024</v>
      </c>
      <c r="P16" s="4">
        <f t="shared" si="5"/>
        <v>27.998196573489629</v>
      </c>
    </row>
    <row r="17" spans="1:16" x14ac:dyDescent="0.2">
      <c r="A17" t="s">
        <v>14</v>
      </c>
      <c r="B17" s="1">
        <v>6.8000000000000005E-2</v>
      </c>
      <c r="C17" s="5">
        <f t="shared" si="1"/>
        <v>782</v>
      </c>
      <c r="G17" t="s">
        <v>14</v>
      </c>
      <c r="H17" s="1">
        <v>9.7835888187556355E-3</v>
      </c>
      <c r="I17" s="1">
        <v>1.0324616771866546E-2</v>
      </c>
      <c r="J17" s="1">
        <v>4.792605951307484E-2</v>
      </c>
      <c r="K17" s="1">
        <v>6.803426510369702E-2</v>
      </c>
      <c r="M17" s="4">
        <f t="shared" si="2"/>
        <v>112.51127141568981</v>
      </c>
      <c r="N17" s="4">
        <f t="shared" si="3"/>
        <v>118.73309287646528</v>
      </c>
      <c r="O17" s="4">
        <f t="shared" si="4"/>
        <v>551.14968440036068</v>
      </c>
      <c r="P17" s="4">
        <f t="shared" si="5"/>
        <v>782.39404869251575</v>
      </c>
    </row>
    <row r="18" spans="1:16" x14ac:dyDescent="0.2">
      <c r="A18" t="s">
        <v>15</v>
      </c>
      <c r="B18" s="1">
        <v>1.7000000000000001E-2</v>
      </c>
      <c r="C18" s="5">
        <f t="shared" si="1"/>
        <v>195.5</v>
      </c>
      <c r="G18" t="s">
        <v>15</v>
      </c>
      <c r="H18" s="1">
        <v>7.6645626690712357E-4</v>
      </c>
      <c r="I18" s="1">
        <v>1.3525698827772769E-4</v>
      </c>
      <c r="J18" s="1">
        <v>1.6501352569882777E-2</v>
      </c>
      <c r="K18" s="1">
        <v>1.7403065825067628E-2</v>
      </c>
      <c r="M18" s="4">
        <f t="shared" si="2"/>
        <v>8.8142470694319215</v>
      </c>
      <c r="N18" s="4">
        <f t="shared" si="3"/>
        <v>1.5554553651938683</v>
      </c>
      <c r="O18" s="4">
        <f t="shared" si="4"/>
        <v>189.76555455365192</v>
      </c>
      <c r="P18" s="4">
        <f t="shared" si="5"/>
        <v>200.13525698827772</v>
      </c>
    </row>
    <row r="19" spans="1:16" x14ac:dyDescent="0.2">
      <c r="A19" t="s">
        <v>16</v>
      </c>
      <c r="B19" s="1">
        <v>9.9000000000000005E-2</v>
      </c>
      <c r="C19" s="5">
        <f t="shared" si="1"/>
        <v>1138.5</v>
      </c>
      <c r="G19" t="s">
        <v>16</v>
      </c>
      <c r="H19" s="1">
        <v>2.4030658250676285E-2</v>
      </c>
      <c r="I19" s="1">
        <v>1.9522091974752027E-2</v>
      </c>
      <c r="J19" s="1">
        <v>5.5725879170423806E-2</v>
      </c>
      <c r="K19" s="1">
        <v>9.9278629395852122E-2</v>
      </c>
      <c r="M19" s="4">
        <f t="shared" si="2"/>
        <v>276.35256988277729</v>
      </c>
      <c r="N19" s="4">
        <f t="shared" si="3"/>
        <v>224.50405770964832</v>
      </c>
      <c r="O19" s="4">
        <f t="shared" si="4"/>
        <v>640.84761045987375</v>
      </c>
      <c r="P19" s="4">
        <f t="shared" si="5"/>
        <v>1141.7042380522994</v>
      </c>
    </row>
    <row r="20" spans="1:16" x14ac:dyDescent="0.2">
      <c r="A20" t="s">
        <v>17</v>
      </c>
      <c r="B20" s="1">
        <v>4.2000000000000003E-2</v>
      </c>
      <c r="C20" s="5">
        <f t="shared" si="1"/>
        <v>483.00000000000006</v>
      </c>
      <c r="G20" t="s">
        <v>17</v>
      </c>
      <c r="H20" s="1">
        <v>9.4679891794409374E-3</v>
      </c>
      <c r="I20" s="1">
        <v>3.9675383228133451E-3</v>
      </c>
      <c r="J20" s="1">
        <v>2.8313796212804328E-2</v>
      </c>
      <c r="K20" s="1">
        <v>4.1749323715058614E-2</v>
      </c>
      <c r="M20" s="4">
        <f t="shared" si="2"/>
        <v>108.88187556357077</v>
      </c>
      <c r="N20" s="4">
        <f t="shared" si="3"/>
        <v>45.626690712353472</v>
      </c>
      <c r="O20" s="4">
        <f t="shared" si="4"/>
        <v>325.60865644724976</v>
      </c>
      <c r="P20" s="4">
        <f t="shared" si="5"/>
        <v>480.117222723174</v>
      </c>
    </row>
    <row r="21" spans="1:16" x14ac:dyDescent="0.2">
      <c r="A21" t="s">
        <v>18</v>
      </c>
      <c r="B21" s="1">
        <v>6.7000000000000004E-2</v>
      </c>
      <c r="C21" s="5">
        <f t="shared" si="1"/>
        <v>770.5</v>
      </c>
      <c r="G21" t="s">
        <v>18</v>
      </c>
      <c r="H21" s="1">
        <v>6.1316501352569885E-3</v>
      </c>
      <c r="I21" s="1">
        <v>4.4183949504057705E-3</v>
      </c>
      <c r="J21" s="1">
        <v>5.6492335437330926E-2</v>
      </c>
      <c r="K21" s="1">
        <v>6.7042380522993689E-2</v>
      </c>
      <c r="M21" s="4">
        <f t="shared" si="2"/>
        <v>70.513976555455372</v>
      </c>
      <c r="N21" s="4">
        <f t="shared" si="3"/>
        <v>50.811541929666362</v>
      </c>
      <c r="O21" s="4">
        <f t="shared" si="4"/>
        <v>649.66185752930562</v>
      </c>
      <c r="P21" s="4">
        <f t="shared" si="5"/>
        <v>770.98737601442735</v>
      </c>
    </row>
    <row r="22" spans="1:16" x14ac:dyDescent="0.2">
      <c r="A22" t="s">
        <v>19</v>
      </c>
      <c r="B22" s="1">
        <v>0.17499999999999999</v>
      </c>
      <c r="C22" s="5">
        <f t="shared" si="1"/>
        <v>2012.4999999999998</v>
      </c>
      <c r="G22" t="s">
        <v>19</v>
      </c>
      <c r="H22" s="1">
        <v>2.2227231740306583E-2</v>
      </c>
      <c r="I22" s="1">
        <v>2.6149684400360684E-3</v>
      </c>
      <c r="J22" s="1">
        <v>0.14990982867448152</v>
      </c>
      <c r="K22" s="1">
        <v>0.17475202885482416</v>
      </c>
      <c r="M22" s="4">
        <f t="shared" si="2"/>
        <v>255.6131650135257</v>
      </c>
      <c r="N22" s="4">
        <f t="shared" si="3"/>
        <v>30.072137060414786</v>
      </c>
      <c r="O22" s="4">
        <f t="shared" si="4"/>
        <v>1723.9630297565375</v>
      </c>
      <c r="P22" s="4">
        <f t="shared" si="5"/>
        <v>2009.6483318304779</v>
      </c>
    </row>
    <row r="23" spans="1:16" x14ac:dyDescent="0.2">
      <c r="A23" t="s">
        <v>20</v>
      </c>
      <c r="B23" s="1">
        <v>3.6000000000000004E-2</v>
      </c>
      <c r="C23" s="5">
        <f t="shared" si="1"/>
        <v>414.00000000000006</v>
      </c>
      <c r="G23" t="s">
        <v>20</v>
      </c>
      <c r="H23" s="1">
        <v>7.1235347159603248E-3</v>
      </c>
      <c r="I23" s="1">
        <v>1.127141568981064E-3</v>
      </c>
      <c r="J23" s="1">
        <v>2.7953110910730387E-2</v>
      </c>
      <c r="K23" s="1">
        <v>3.6203787195671779E-2</v>
      </c>
      <c r="M23" s="4">
        <f t="shared" si="2"/>
        <v>81.920649233543742</v>
      </c>
      <c r="N23" s="4">
        <f t="shared" si="3"/>
        <v>12.962128043282236</v>
      </c>
      <c r="O23" s="4">
        <f t="shared" si="4"/>
        <v>321.46077547339945</v>
      </c>
      <c r="P23" s="4">
        <f t="shared" si="5"/>
        <v>416.3435527502254</v>
      </c>
    </row>
    <row r="24" spans="1:16" x14ac:dyDescent="0.2">
      <c r="B24" s="2">
        <f>SUM(B3:B23)</f>
        <v>1.0000000000000002</v>
      </c>
      <c r="C24" s="4">
        <v>11500</v>
      </c>
      <c r="H24" s="3">
        <v>0.18079350766456267</v>
      </c>
      <c r="I24" s="3">
        <v>8.3678990081154203E-2</v>
      </c>
      <c r="J24" s="3">
        <v>0.73552750225428309</v>
      </c>
      <c r="K24" s="3">
        <v>1</v>
      </c>
      <c r="M24" s="5">
        <f>SUM(M3:M23)</f>
        <v>2079.1253381424708</v>
      </c>
      <c r="N24" s="5">
        <f t="shared" ref="N24:O24" si="6">SUM(N3:N23)</f>
        <v>962.30838593327314</v>
      </c>
      <c r="O24" s="5">
        <f t="shared" si="6"/>
        <v>8458.5662759242568</v>
      </c>
      <c r="P24" s="5">
        <f>SUM(P3:P23)</f>
        <v>11500.000000000002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Zarrilli</dc:creator>
  <cp:lastModifiedBy>Mike Zarrilli</cp:lastModifiedBy>
  <dcterms:created xsi:type="dcterms:W3CDTF">2025-06-09T16:23:07Z</dcterms:created>
  <dcterms:modified xsi:type="dcterms:W3CDTF">2025-09-22T13:28:06Z</dcterms:modified>
</cp:coreProperties>
</file>